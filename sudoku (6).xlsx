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<sst xmlns="http://schemas.openxmlformats.org/spreadsheetml/2006/main" count="118" uniqueCount="15">
  <si>
    <t xml:space="preserve">     SOLVING BOARD</t>
  </si>
  <si>
    <t>COPY THIS AND PASTE IN SOLVING BOARD 
(CTRL + SHIFT + V)</t>
  </si>
  <si>
    <t/>
  </si>
  <si>
    <t>KEEPER</t>
  </si>
  <si>
    <t>COPY BOTH OF THESE, TOP INTO KEEPER BOTTOM INTO SOLVING BOARD</t>
  </si>
  <si>
    <t>R</t>
  </si>
  <si>
    <t>C</t>
  </si>
  <si>
    <t>B</t>
  </si>
  <si>
    <t>f</t>
  </si>
  <si>
    <t>PUZZLE KEEPER</t>
  </si>
  <si>
    <t>COPY THIS AND PASTE IN PUZZLE KEEPER
(CTRL + SHIFT + V)</t>
  </si>
  <si>
    <r>
      <rPr>
        <rFont val="Comfortaa"/>
        <b/>
        <color theme="1"/>
        <sz val="14.0"/>
      </rPr>
      <t xml:space="preserve">PLEASE </t>
    </r>
    <r>
      <rPr>
        <rFont val="Comfortaa"/>
        <color theme="1"/>
        <sz val="14.0"/>
      </rPr>
      <t xml:space="preserve">use Ctrl + Shift + V 
when copy and  pasting to </t>
    </r>
  </si>
  <si>
    <t xml:space="preserve">not delete any of the code 
that runs this game. </t>
  </si>
  <si>
    <t>THANK YOU!!</t>
  </si>
  <si>
    <t>abcdefghij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</si>
</sst>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7">
    <font>
      <sz val="10.0"/>
      <color rgb="FF000000"/>
      <name val="Arial"/>
      <scheme val="minor"/>
    </font>
    <font>
      <sz val="20.0"/>
      <color theme="1"/>
      <name val="Comfortaa"/>
    </font>
    <font>
      <color theme="1"/>
      <name val="Arial"/>
      <scheme val="minor"/>
    </font>
    <font>
      <sz val="25.0"/>
      <color theme="1"/>
      <name val="Comfortaa"/>
    </font>
    <font>
      <sz val="20.0"/>
      <color rgb="FF000000"/>
      <name val="Comfortaa"/>
    </font>
    <font>
      <color rgb="FF999999"/>
      <name val="Arial"/>
      <scheme val="minor"/>
    </font>
    <font>
      <color rgb="FF434343"/>
      <name val="Arial"/>
      <scheme val="minor"/>
    </font>
    <font>
      <sz val="20.0"/>
      <color rgb="FFFF0000"/>
      <name val="Comfortaa"/>
    </font>
    <font>
      <sz val="11.0"/>
      <color theme="1"/>
      <name val="Comfortaa"/>
    </font>
    <font>
      <sz val="20.0"/>
      <color rgb="FFFF9900"/>
      <name val="Comfortaa"/>
    </font>
    <font>
      <color theme="1"/>
      <name val="Arial"/>
    </font>
    <font>
      <sz val="20.0"/>
      <color rgb="FF434343"/>
      <name val="Comfortaa"/>
    </font>
    <font>
      <sz val="20.0"/>
      <color rgb="FFFFFF00"/>
      <name val="Comfortaa"/>
    </font>
    <font>
      <sz val="25.0"/>
      <color rgb="FFCCCCCC"/>
      <name val="Comfortaa"/>
    </font>
    <font>
      <sz val="20.0"/>
      <color rgb="FFEFEFEF"/>
      <name val="Comfortaa"/>
    </font>
    <font>
      <sz val="20.0"/>
      <color rgb="FF0000FF"/>
      <name val="Comfortaa"/>
    </font>
    <font>
      <sz val="20.0"/>
      <color rgb="FF00FF00"/>
      <name val="Comfortaa"/>
    </font>
    <font>
      <sz val="20.0"/>
      <color rgb="FF9900FF"/>
      <name val="Comfortaa"/>
    </font>
    <font>
      <sz val="20.0"/>
      <color rgb="FFFFFFFF"/>
      <name val="Comfortaa"/>
    </font>
    <font>
      <sz val="12.0"/>
      <color rgb="FFFFFFFF"/>
      <name val="Comfortaa"/>
    </font>
    <font>
      <sz val="20.0"/>
      <color rgb="FFCCCCCC"/>
      <name val="Comfortaa"/>
    </font>
    <font>
      <color theme="1"/>
      <name val="Comfortaa"/>
    </font>
    <font>
      <color rgb="FF000000"/>
      <name val="Arial"/>
      <scheme val="minor"/>
    </font>
    <font>
      <sz val="11.0"/>
      <color rgb="FFCCCCCC"/>
      <name val="Arial"/>
      <scheme val="minor"/>
    </font>
    <font>
      <color rgb="FFCCCCCC"/>
      <name val="Arial"/>
      <scheme val="minor"/>
    </font>
    <font>
      <color rgb="FFD9D9D9"/>
      <name val="Arial"/>
      <scheme val="minor"/>
    </font>
    <font>
      <sz val="14.0"/>
      <color theme="1"/>
      <name val="Comfortaa"/>
    </font>
  </fonts>
  <fills count="15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999999"/>
        <bgColor rgb="FF999999"/>
      </patternFill>
    </fill>
    <fill>
      <patternFill patternType="solid">
        <fgColor rgb="FF000000"/>
        <bgColor rgb="FF000000"/>
      </patternFill>
    </fill>
    <fill>
      <patternFill patternType="solid">
        <fgColor rgb="FF434343"/>
        <bgColor rgb="FF434343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EFEFEF"/>
        <bgColor rgb="FFEFEFEF"/>
      </patternFill>
    </fill>
    <fill>
      <patternFill patternType="solid">
        <fgColor rgb="FF0000FF"/>
        <bgColor rgb="FF0000FF"/>
      </patternFill>
    </fill>
    <fill>
      <patternFill patternType="solid">
        <fgColor rgb="FF00FF00"/>
        <bgColor rgb="FF00FF00"/>
      </patternFill>
    </fill>
    <fill>
      <patternFill patternType="solid">
        <fgColor rgb="FF9900FF"/>
        <bgColor rgb="FF9900FF"/>
      </patternFill>
    </fill>
    <fill>
      <patternFill patternType="solid">
        <fgColor rgb="FFFFFFFF"/>
        <bgColor rgb="FFFFFFFF"/>
      </patternFill>
    </fill>
  </fills>
  <borders count="29">
    <border/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ck">
        <color rgb="FF000000"/>
      </right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2" fontId="1" numFmtId="0" xfId="0" applyAlignment="1" applyBorder="1" applyFill="1" applyFont="1">
      <alignment horizontal="center" vertical="center"/>
    </xf>
    <xf borderId="3" fillId="2" fontId="1" numFmtId="0" xfId="0" applyAlignment="1" applyBorder="1" applyFill="1" applyFont="1">
      <alignment horizontal="center" vertical="center"/>
    </xf>
    <xf borderId="4" fillId="2" fontId="1" numFmtId="0" xfId="0" applyAlignment="1" applyBorder="1" applyFill="1" applyFont="1">
      <alignment horizontal="center" vertical="center"/>
    </xf>
    <xf borderId="5" fillId="2" fontId="1" numFmtId="0" xfId="0" applyAlignment="1" applyBorder="1" applyFill="1" applyFont="1">
      <alignment horizontal="center" vertical="center"/>
    </xf>
    <xf borderId="0" fillId="3" fontId="2" numFmtId="0" xfId="0" applyFill="1" applyFont="1"/>
    <xf borderId="0" fillId="3" fontId="3" numFmtId="0" xfId="0" applyAlignment="1" applyFill="1" applyFont="1">
      <alignment horizontal="center" readingOrder="0" vertical="center"/>
    </xf>
    <xf borderId="0" fillId="4" fontId="4" numFmtId="0" xfId="0" applyAlignment="1" applyFill="1" applyFont="1">
      <alignment horizontal="center" vertical="center"/>
    </xf>
    <xf borderId="0" fillId="3" fontId="5" numFmtId="0" xfId="0" applyFill="1" applyFont="1"/>
    <xf borderId="0" fillId="5" fontId="6" numFmtId="0" xfId="0" applyFill="1" applyFont="1"/>
    <xf borderId="0" fillId="3" fontId="2" numFmtId="0" xfId="0" applyAlignment="1" applyFill="1" applyFont="1">
      <alignment horizontal="center" readingOrder="0" vertical="center"/>
    </xf>
    <xf borderId="0" fillId="6" fontId="7" numFmtId="0" xfId="0" applyAlignment="1" applyFill="1" applyFont="1">
      <alignment horizontal="center" vertical="center"/>
    </xf>
    <xf borderId="0" fillId="3" fontId="8" numFmtId="0" xfId="0" applyAlignment="1" applyFill="1" applyFont="1">
      <alignment horizontal="center" readingOrder="0" vertical="center"/>
    </xf>
    <xf borderId="0" fillId="7" fontId="9" numFmtId="0" xfId="0" applyAlignment="1" applyFill="1" applyFont="1">
      <alignment horizontal="center" vertical="center"/>
    </xf>
    <xf borderId="0" fillId="3" fontId="10" numFmtId="0" xfId="0" applyAlignment="1" applyFill="1" applyFont="1">
      <alignment vertical="bottom"/>
    </xf>
    <xf borderId="0" fillId="5" fontId="11" numFmtId="0" xfId="0" applyAlignment="1" applyFill="1" applyFont="1">
      <alignment horizontal="center" vertical="center"/>
    </xf>
    <xf borderId="6" fillId="8" fontId="3" numFmtId="0" xfId="0" applyAlignment="1" applyBorder="1" applyFill="1" applyFont="1">
      <alignment horizontal="center" vertical="center"/>
    </xf>
    <xf borderId="0" fillId="9" fontId="12" numFmtId="0" xfId="0" applyAlignment="1" applyFill="1" applyFont="1">
      <alignment horizontal="center" vertical="center"/>
    </xf>
    <xf borderId="7" fillId="8" fontId="3" numFmtId="0" xfId="0" applyAlignment="1" applyBorder="1" applyFill="1" applyFont="1">
      <alignment horizontal="center" vertical="center"/>
    </xf>
    <xf borderId="8" fillId="8" fontId="3" numFmtId="0" xfId="0" applyAlignment="1" applyBorder="1" applyFill="1" applyFont="1">
      <alignment horizontal="center" vertical="center"/>
    </xf>
    <xf borderId="4" fillId="8" fontId="3" numFmtId="0" xfId="0" applyAlignment="1" applyBorder="1" applyFill="1" applyFont="1">
      <alignment horizontal="center" vertical="center"/>
    </xf>
    <xf borderId="2" fillId="8" fontId="3" numFmtId="0" xfId="0" applyAlignment="1" applyBorder="1" applyFill="1" applyFont="1">
      <alignment horizontal="center" vertical="center"/>
    </xf>
    <xf borderId="5" fillId="8" fontId="3" numFmtId="0" xfId="0" applyAlignment="1" applyBorder="1" applyFill="1" applyFont="1">
      <alignment horizontal="center" vertical="center"/>
    </xf>
    <xf borderId="0" fillId="8" fontId="13" numFmtId="0" xfId="0" applyAlignment="1" applyFill="1" applyFont="1">
      <alignment horizontal="center" vertical="center"/>
    </xf>
    <xf borderId="9" fillId="8" fontId="3" numFmtId="0" xfId="0" applyAlignment="1" applyBorder="1" applyFill="1" applyFont="1">
      <alignment horizontal="center" vertical="center"/>
    </xf>
    <xf borderId="10" fillId="8" fontId="3" numFmtId="0" xfId="0" applyAlignment="1" applyBorder="1" applyFill="1" applyFont="1">
      <alignment horizontal="center" vertical="center"/>
    </xf>
    <xf borderId="11" fillId="8" fontId="3" numFmtId="0" xfId="0" applyAlignment="1" applyBorder="1" applyFill="1" applyFont="1">
      <alignment horizontal="center" vertical="center"/>
    </xf>
    <xf borderId="12" fillId="8" fontId="3" numFmtId="0" xfId="0" applyAlignment="1" applyBorder="1" applyFill="1" applyFont="1">
      <alignment horizontal="center" vertical="center"/>
    </xf>
    <xf borderId="0" fillId="4" fontId="1" numFmtId="0" xfId="0" applyAlignment="1" applyFill="1" applyFont="1">
      <alignment horizontal="center" vertical="center"/>
    </xf>
    <xf borderId="13" fillId="8" fontId="3" numFmtId="0" xfId="0" applyAlignment="1" applyBorder="1" applyFill="1" applyFont="1">
      <alignment horizontal="center" vertical="center"/>
    </xf>
    <xf borderId="0" fillId="10" fontId="14" numFmtId="0" xfId="0" applyAlignment="1" applyFill="1" applyFont="1">
      <alignment horizontal="center" vertical="center"/>
    </xf>
    <xf borderId="0" fillId="0" fontId="1" numFmtId="0" xfId="0" applyAlignment="1" applyFont="1">
      <alignment horizontal="center" vertical="center"/>
    </xf>
    <xf borderId="14" fillId="2" fontId="1" numFmtId="0" xfId="0" applyAlignment="1" applyBorder="1" applyFill="1" applyFont="1">
      <alignment horizontal="center" vertical="center"/>
    </xf>
    <xf borderId="15" fillId="2" fontId="1" numFmtId="0" xfId="0" applyAlignment="1" applyBorder="1" applyFill="1" applyFont="1">
      <alignment horizontal="center" vertical="center"/>
    </xf>
    <xf borderId="16" fillId="2" fontId="1" numFmtId="0" xfId="0" applyAlignment="1" applyBorder="1" applyFill="1" applyFont="1">
      <alignment horizontal="center" vertical="center"/>
    </xf>
    <xf borderId="17" fillId="2" fontId="1" numFmtId="0" xfId="0" applyAlignment="1" applyBorder="1" applyFill="1" applyFont="1">
      <alignment horizontal="center" vertical="center"/>
    </xf>
    <xf borderId="18" fillId="2" fontId="1" numFmtId="0" xfId="0" applyAlignment="1" applyBorder="1" applyFill="1" applyFont="1">
      <alignment horizontal="center" vertical="center"/>
    </xf>
    <xf borderId="0" fillId="3" fontId="2" numFmtId="0" xfId="0" applyAlignment="1" applyFill="1" applyFont="1">
      <alignment vertical="center"/>
    </xf>
    <xf borderId="19" fillId="8" fontId="3" numFmtId="0" xfId="0" applyAlignment="1" applyBorder="1" applyFill="1" applyFont="1">
      <alignment horizontal="center" vertical="center"/>
    </xf>
    <xf borderId="20" fillId="8" fontId="3" numFmtId="0" xfId="0" applyAlignment="1" applyBorder="1" applyFill="1" applyFont="1">
      <alignment horizontal="center" vertical="center"/>
    </xf>
    <xf borderId="21" fillId="8" fontId="3" numFmtId="0" xfId="0" applyAlignment="1" applyBorder="1" applyFill="1" applyFont="1">
      <alignment horizontal="center" vertical="center"/>
    </xf>
    <xf borderId="22" fillId="8" fontId="3" numFmtId="0" xfId="0" applyAlignment="1" applyBorder="1" applyFill="1" applyFont="1">
      <alignment horizontal="center" vertical="center"/>
    </xf>
    <xf borderId="9" fillId="2" fontId="1" numFmtId="0" xfId="0" applyAlignment="1" applyBorder="1" applyFill="1" applyFont="1">
      <alignment horizontal="center" vertical="center"/>
    </xf>
    <xf borderId="10" fillId="2" fontId="1" numFmtId="0" xfId="0" applyAlignment="1" applyBorder="1" applyFill="1" applyFont="1">
      <alignment horizontal="center" vertical="center"/>
    </xf>
    <xf borderId="11" fillId="2" fontId="1" numFmtId="0" xfId="0" applyAlignment="1" applyBorder="1" applyFill="1" applyFont="1">
      <alignment horizontal="center" vertical="center"/>
    </xf>
    <xf borderId="12" fillId="2" fontId="1" numFmtId="0" xfId="0" applyAlignment="1" applyBorder="1" applyFill="1" applyFont="1">
      <alignment horizontal="center" vertical="center"/>
    </xf>
    <xf borderId="13" fillId="2" fontId="1" numFmtId="0" xfId="0" applyAlignment="1" applyBorder="1" applyFill="1" applyFont="1">
      <alignment horizontal="center" vertical="center"/>
    </xf>
    <xf borderId="19" fillId="2" fontId="1" numFmtId="0" xfId="0" applyAlignment="1" applyBorder="1" applyFill="1" applyFont="1">
      <alignment horizontal="center" vertical="center"/>
    </xf>
    <xf borderId="20" fillId="2" fontId="1" numFmtId="0" xfId="0" applyAlignment="1" applyBorder="1" applyFill="1" applyFont="1">
      <alignment horizontal="center" vertical="center"/>
    </xf>
    <xf borderId="21" fillId="2" fontId="1" numFmtId="0" xfId="0" applyAlignment="1" applyBorder="1" applyFill="1" applyFont="1">
      <alignment horizontal="center" vertical="center"/>
    </xf>
    <xf borderId="22" fillId="2" fontId="1" numFmtId="0" xfId="0" applyAlignment="1" applyBorder="1" applyFill="1" applyFont="1">
      <alignment horizontal="center" vertical="center"/>
    </xf>
    <xf borderId="23" fillId="8" fontId="3" numFmtId="0" xfId="0" applyAlignment="1" applyBorder="1" applyFill="1" applyFont="1">
      <alignment horizontal="center" vertical="center"/>
    </xf>
    <xf borderId="23" fillId="2" fontId="1" numFmtId="0" xfId="0" applyAlignment="1" applyBorder="1" applyFill="1" applyFont="1">
      <alignment horizontal="center" vertical="center"/>
    </xf>
    <xf borderId="0" fillId="11" fontId="15" numFmtId="0" xfId="0" applyAlignment="1" applyFill="1" applyFont="1">
      <alignment horizontal="center" vertical="center"/>
    </xf>
    <xf borderId="24" fillId="2" fontId="1" numFmtId="0" xfId="0" applyAlignment="1" applyBorder="1" applyFill="1" applyFont="1">
      <alignment horizontal="center" vertical="center"/>
    </xf>
    <xf borderId="25" fillId="2" fontId="1" numFmtId="0" xfId="0" applyAlignment="1" applyBorder="1" applyFill="1" applyFont="1">
      <alignment horizontal="center" vertical="center"/>
    </xf>
    <xf borderId="26" fillId="2" fontId="1" numFmtId="0" xfId="0" applyAlignment="1" applyBorder="1" applyFill="1" applyFont="1">
      <alignment horizontal="center" vertical="center"/>
    </xf>
    <xf borderId="27" fillId="2" fontId="1" numFmtId="0" xfId="0" applyAlignment="1" applyBorder="1" applyFill="1" applyFont="1">
      <alignment horizontal="center" vertical="center"/>
    </xf>
    <xf borderId="28" fillId="2" fontId="1" numFmtId="0" xfId="0" applyAlignment="1" applyBorder="1" applyFill="1" applyFont="1">
      <alignment horizontal="center" vertical="center"/>
    </xf>
    <xf borderId="0" fillId="12" fontId="16" numFmtId="0" xfId="0" applyAlignment="1" applyFill="1" applyFont="1">
      <alignment horizontal="center" vertical="center"/>
    </xf>
    <xf borderId="0" fillId="13" fontId="17" numFmtId="0" xfId="0" applyAlignment="1" applyFill="1" applyFont="1">
      <alignment horizontal="center" vertical="center"/>
    </xf>
    <xf borderId="0" fillId="4" fontId="18" numFmtId="0" xfId="0" applyAlignment="1" applyFill="1" applyFont="1">
      <alignment horizontal="center" readingOrder="0" vertical="center"/>
    </xf>
    <xf borderId="0" fillId="4" fontId="18" numFmtId="0" xfId="0" applyAlignment="1" applyFill="1" applyFont="1">
      <alignment horizontal="center" vertical="center"/>
    </xf>
    <xf borderId="0" fillId="4" fontId="19" numFmtId="0" xfId="0" applyAlignment="1" applyFill="1" applyFont="1">
      <alignment horizontal="center" readingOrder="0" vertical="center"/>
    </xf>
    <xf borderId="0" fillId="6" fontId="1" numFmtId="0" xfId="0" applyAlignment="1" applyFill="1" applyFont="1">
      <alignment horizontal="center" vertical="center"/>
    </xf>
    <xf borderId="0" fillId="7" fontId="1" numFmtId="0" xfId="0" applyAlignment="1" applyFill="1" applyFont="1">
      <alignment horizontal="center" vertical="center"/>
    </xf>
    <xf borderId="0" fillId="9" fontId="1" numFmtId="0" xfId="0" applyAlignment="1" applyFill="1" applyFont="1">
      <alignment horizontal="center" vertical="center"/>
    </xf>
    <xf borderId="0" fillId="2" fontId="20" numFmtId="0" xfId="0" applyAlignment="1" applyFill="1" applyFont="1">
      <alignment horizontal="center" vertical="center"/>
    </xf>
    <xf borderId="24" fillId="8" fontId="3" numFmtId="0" xfId="0" applyAlignment="1" applyBorder="1" applyFill="1" applyFont="1">
      <alignment horizontal="center" vertical="center"/>
    </xf>
    <xf borderId="25" fillId="8" fontId="3" numFmtId="0" xfId="0" applyAlignment="1" applyBorder="1" applyFill="1" applyFont="1">
      <alignment horizontal="center" vertical="center"/>
    </xf>
    <xf borderId="26" fillId="8" fontId="3" numFmtId="0" xfId="0" applyAlignment="1" applyBorder="1" applyFill="1" applyFont="1">
      <alignment horizontal="center" vertical="center"/>
    </xf>
    <xf borderId="27" fillId="8" fontId="3" numFmtId="0" xfId="0" applyAlignment="1" applyBorder="1" applyFill="1" applyFont="1">
      <alignment horizontal="center" vertical="center"/>
    </xf>
    <xf borderId="28" fillId="8" fontId="3" numFmtId="0" xfId="0" applyAlignment="1" applyBorder="1" applyFill="1" applyFont="1">
      <alignment horizontal="center" vertical="center"/>
    </xf>
    <xf borderId="0" fillId="3" fontId="5" numFmtId="0" xfId="0" applyAlignment="1" applyFill="1" applyFont="1">
      <alignment readingOrder="0"/>
    </xf>
    <xf borderId="0" fillId="5" fontId="6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6" fontId="1" numFmtId="0" xfId="0" applyAlignment="1" applyFill="1" applyFont="1">
      <alignment horizontal="center" readingOrder="0" vertical="center"/>
    </xf>
    <xf borderId="0" fillId="7" fontId="1" numFmtId="0" xfId="0" applyAlignment="1" applyFill="1" applyFont="1">
      <alignment horizontal="center" readingOrder="0" vertical="center"/>
    </xf>
    <xf borderId="0" fillId="9" fontId="1" numFmtId="0" xfId="0" applyAlignment="1" applyFill="1" applyFont="1">
      <alignment horizontal="center" readingOrder="0" vertical="center"/>
    </xf>
    <xf borderId="0" fillId="2" fontId="20" numFmtId="0" xfId="0" applyAlignment="1" applyFill="1" applyFont="1">
      <alignment horizontal="center" readingOrder="0" vertical="center"/>
    </xf>
    <xf borderId="0" fillId="0" fontId="3" numFmtId="0" xfId="0" applyAlignment="1" applyFont="1">
      <alignment horizontal="center" vertical="center"/>
    </xf>
    <xf borderId="0" fillId="5" fontId="2" numFmtId="0" xfId="0" applyFill="1" applyFont="1"/>
    <xf borderId="0" fillId="3" fontId="3" numFmtId="0" xfId="0" applyAlignment="1" applyFill="1" applyFont="1">
      <alignment readingOrder="0" vertical="center"/>
    </xf>
    <xf borderId="0" fillId="3" fontId="21" numFmtId="0" xfId="0" applyFill="1" applyFont="1"/>
    <xf borderId="0" fillId="3" fontId="22" numFmtId="0" xfId="0" applyFill="1" applyFont="1"/>
    <xf borderId="0" fillId="3" fontId="22" numFmtId="0" xfId="0" applyAlignment="1" applyFill="1" applyFont="1">
      <alignment horizontal="center" readingOrder="0" vertical="center"/>
    </xf>
    <xf borderId="0" fillId="2" fontId="23" numFmtId="0" xfId="0" applyAlignment="1" applyFill="1" applyFont="1">
      <alignment readingOrder="0"/>
    </xf>
    <xf borderId="0" fillId="2" fontId="24" numFmtId="0" xfId="0" applyFill="1" applyFont="1"/>
    <xf borderId="0" fillId="0" fontId="25" numFmtId="0" xfId="0" applyFont="1"/>
    <xf borderId="0" fillId="8" fontId="10" numFmtId="0" xfId="0" applyAlignment="1" applyFill="1" applyFont="1">
      <alignment vertical="bottom"/>
    </xf>
    <xf borderId="0" fillId="8" fontId="10" numFmtId="0" xfId="0" applyFill="1" applyFont="1"/>
    <xf borderId="0" fillId="8" fontId="10" numFmtId="0" xfId="0" applyAlignment="1" applyFill="1" applyFont="1">
      <alignment horizontal="center"/>
    </xf>
    <xf borderId="0" fillId="8" fontId="10" numFmtId="0" xfId="0" applyAlignment="1" applyFill="1" applyFont="1">
      <alignment vertical="bottom"/>
    </xf>
    <xf borderId="0" fillId="8" fontId="26" numFmtId="0" xfId="0" applyAlignment="1" applyFill="1" applyFont="1">
      <alignment horizontal="center"/>
    </xf>
    <xf borderId="0" fillId="8" fontId="1" numFmtId="0" xfId="0" applyAlignment="1" applyFill="1" applyFont="1">
      <alignment horizontal="center"/>
    </xf>
    <xf borderId="0" fillId="0" fontId="1" numFmtId="0" xfId="0" applyAlignment="1" applyFont="1">
      <alignment horizontal="center" readingOrder="0" vertical="center"/>
    </xf>
    <xf borderId="0" fillId="12" fontId="1" numFmtId="0" xfId="0" applyAlignment="1" applyFill="1" applyFont="1">
      <alignment horizontal="center" vertical="center"/>
    </xf>
    <xf borderId="0" fillId="11" fontId="1" numFmtId="0" xfId="0" applyAlignment="1" applyFill="1" applyFont="1">
      <alignment horizontal="center" vertical="center"/>
    </xf>
    <xf borderId="0" fillId="14" fontId="1" numFmtId="0" xfId="0" applyAlignment="1" applyFill="1" applyFont="1">
      <alignment horizontal="center" readingOrder="0" vertical="center"/>
    </xf>
  </cellXfs>
  <cellStyles count="1">
    <cellStyle xfId="0" name="Normal" builtinId="0"/>
  </cellStyles>
  <dxfs count="5">
    <dxf>
      <font/>
      <fill>
        <patternFill patternType="solid">
          <fgColor rgb="FFB7B7B7"/>
          <bgColor rgb="FFB7B7B7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>
        <color rgb="FFD9D9D9"/>
      </font>
      <fill>
        <patternFill patternType="solid">
          <fgColor rgb="FFD9D9D9"/>
          <bgColor rgb="FFD9D9D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39" width="5.75"/>
  </cols>
  <sheetData>
    <row r="1" ht="35.25" customHeight="1">
      <c r="A1" s="6"/>
      <c r="B1" s="6"/>
      <c r="C1" s="6"/>
      <c r="D1" s="7" t="s">
        <v>0</v>
      </c>
      <c r="E1" s="6"/>
      <c r="F1" s="6"/>
      <c r="G1" s="6"/>
      <c r="H1" s="9">
        <f t="array" ref="H1:H6">SEQUENCE(6,1)</f>
        <v>1</v>
      </c>
      <c r="I1" s="10"/>
      <c r="J1" s="10"/>
      <c r="K1" s="10"/>
      <c r="L1" s="10">
        <f t="array" ref="L1:Q1">TRANSPOSE(SORT(H1:H6, RANDARRAY(ROWS(H1:H6)),TRUE))</f>
        <v>4</v>
      </c>
      <c r="M1" s="10">
        <v>3.0</v>
      </c>
      <c r="N1" s="10">
        <v>5.0</v>
      </c>
      <c r="O1" s="10">
        <v>1.0</v>
      </c>
      <c r="P1" s="10">
        <v>6.0</v>
      </c>
      <c r="Q1" s="10">
        <v>2.0</v>
      </c>
      <c r="R1" s="6"/>
      <c r="S1" s="6"/>
      <c r="T1" s="6"/>
      <c r="U1" s="11"/>
      <c r="V1" s="13" t="s">
        <v>1</v>
      </c>
      <c r="W1" s="6"/>
      <c r="X1" s="6"/>
      <c r="Y1" s="6"/>
    </row>
    <row r="2" ht="35.25" customHeight="1">
      <c r="A2" s="15"/>
      <c r="B2" s="17"/>
      <c r="C2" s="19"/>
      <c r="D2" s="20"/>
      <c r="E2" s="21"/>
      <c r="F2" s="22"/>
      <c r="G2" s="23"/>
      <c r="H2" s="9">
        <v>2.0</v>
      </c>
      <c r="I2" s="10"/>
      <c r="J2" s="10"/>
      <c r="K2" s="10"/>
      <c r="L2" s="10">
        <f t="array" ref="L2:Q6">MAKEARRAY(5,6,LAMBDA(lol,los,INDEX(L1:Q1,MOD(los-1-CHOOSE(lol,3,4,1,2,5),6)+1)))</f>
        <v>1</v>
      </c>
      <c r="M2" s="10">
        <v>6.0</v>
      </c>
      <c r="N2" s="10">
        <v>2.0</v>
      </c>
      <c r="O2" s="10">
        <v>4.0</v>
      </c>
      <c r="P2" s="10">
        <v>3.0</v>
      </c>
      <c r="Q2" s="10">
        <v>5.0</v>
      </c>
      <c r="R2" s="15" t="str">
        <f t="array" ref="R2:X2">{"","",M9,N9,O9,"",""}</f>
        <v/>
      </c>
      <c r="S2" s="24" t="s">
        <v>2</v>
      </c>
      <c r="T2" s="24"/>
      <c r="U2" s="24"/>
      <c r="V2" s="24"/>
      <c r="W2" s="24" t="s">
        <v>2</v>
      </c>
      <c r="X2" s="24" t="s">
        <v>2</v>
      </c>
      <c r="Y2" s="6"/>
    </row>
    <row r="3" ht="35.25" customHeight="1">
      <c r="A3" s="6"/>
      <c r="B3" s="25"/>
      <c r="C3" s="26"/>
      <c r="D3" s="27"/>
      <c r="E3" s="28"/>
      <c r="F3" s="26"/>
      <c r="G3" s="30"/>
      <c r="H3" s="9">
        <v>3.0</v>
      </c>
      <c r="I3" s="10"/>
      <c r="J3" s="10"/>
      <c r="K3" s="10"/>
      <c r="L3" s="10">
        <v>5.0</v>
      </c>
      <c r="M3" s="10">
        <v>1.0</v>
      </c>
      <c r="N3" s="10">
        <v>6.0</v>
      </c>
      <c r="O3" s="10">
        <v>2.0</v>
      </c>
      <c r="P3" s="10">
        <v>4.0</v>
      </c>
      <c r="Q3" s="10">
        <v>3.0</v>
      </c>
      <c r="R3" s="15" t="str">
        <f t="array" ref="R3:X3">{"","","","","","",""}</f>
        <v/>
      </c>
      <c r="S3" s="24" t="s">
        <v>2</v>
      </c>
      <c r="T3" s="24" t="s">
        <v>2</v>
      </c>
      <c r="U3" s="24" t="s">
        <v>2</v>
      </c>
      <c r="V3" s="24" t="s">
        <v>2</v>
      </c>
      <c r="W3" s="24" t="s">
        <v>2</v>
      </c>
      <c r="X3" s="24" t="s">
        <v>2</v>
      </c>
      <c r="Y3" s="38"/>
    </row>
    <row r="4" ht="35.25" customHeight="1">
      <c r="A4" s="6"/>
      <c r="B4" s="39"/>
      <c r="C4" s="40"/>
      <c r="D4" s="41"/>
      <c r="E4" s="42"/>
      <c r="F4" s="40"/>
      <c r="G4" s="52"/>
      <c r="H4" s="9">
        <v>4.0</v>
      </c>
      <c r="I4" s="10"/>
      <c r="J4" s="10"/>
      <c r="K4" s="10"/>
      <c r="L4" s="10">
        <v>2.0</v>
      </c>
      <c r="M4" s="10">
        <v>4.0</v>
      </c>
      <c r="N4" s="10">
        <v>3.0</v>
      </c>
      <c r="O4" s="10">
        <v>5.0</v>
      </c>
      <c r="P4" s="10">
        <v>1.0</v>
      </c>
      <c r="Q4" s="10">
        <v>6.0</v>
      </c>
      <c r="R4" s="15" t="str">
        <f t="array" ref="R4:X4">{"","",M11,N11,"","",Q11}</f>
        <v/>
      </c>
      <c r="S4" s="24" t="s">
        <v>2</v>
      </c>
      <c r="T4" s="24"/>
      <c r="U4" s="24"/>
      <c r="V4" s="24" t="s">
        <v>2</v>
      </c>
      <c r="W4" s="24" t="s">
        <v>2</v>
      </c>
      <c r="X4" s="24"/>
      <c r="Y4" s="6"/>
    </row>
    <row r="5" ht="35.25" customHeight="1">
      <c r="A5" s="6"/>
      <c r="B5" s="25"/>
      <c r="C5" s="26"/>
      <c r="D5" s="27"/>
      <c r="E5" s="28"/>
      <c r="F5" s="26"/>
      <c r="G5" s="30"/>
      <c r="H5" s="9">
        <v>5.0</v>
      </c>
      <c r="I5" s="10"/>
      <c r="J5" s="10"/>
      <c r="K5" s="10"/>
      <c r="L5" s="10">
        <v>6.0</v>
      </c>
      <c r="M5" s="10">
        <v>2.0</v>
      </c>
      <c r="N5" s="10">
        <v>4.0</v>
      </c>
      <c r="O5" s="10">
        <v>3.0</v>
      </c>
      <c r="P5" s="10">
        <v>5.0</v>
      </c>
      <c r="Q5" s="10">
        <v>1.0</v>
      </c>
      <c r="R5" s="15" t="str">
        <f t="array" ref="R5:X5">{"",L12,"","","","",""}</f>
        <v/>
      </c>
      <c r="S5" s="24"/>
      <c r="T5" s="24" t="s">
        <v>2</v>
      </c>
      <c r="U5" s="24" t="s">
        <v>2</v>
      </c>
      <c r="V5" s="24" t="s">
        <v>2</v>
      </c>
      <c r="W5" s="24" t="s">
        <v>2</v>
      </c>
      <c r="X5" s="24" t="s">
        <v>2</v>
      </c>
      <c r="Y5" s="6"/>
    </row>
    <row r="6" ht="35.25" customHeight="1">
      <c r="A6" s="6"/>
      <c r="B6" s="39"/>
      <c r="C6" s="40"/>
      <c r="D6" s="41"/>
      <c r="E6" s="42"/>
      <c r="F6" s="40"/>
      <c r="G6" s="52"/>
      <c r="H6" s="9">
        <v>6.0</v>
      </c>
      <c r="I6" s="10"/>
      <c r="J6" s="10"/>
      <c r="K6" s="10"/>
      <c r="L6" s="10">
        <v>3.0</v>
      </c>
      <c r="M6" s="10">
        <v>5.0</v>
      </c>
      <c r="N6" s="10">
        <v>1.0</v>
      </c>
      <c r="O6" s="10">
        <v>6.0</v>
      </c>
      <c r="P6" s="10">
        <v>2.0</v>
      </c>
      <c r="Q6" s="10">
        <v>4.0</v>
      </c>
      <c r="R6" s="15" t="str">
        <f t="array" ref="R6:X6">{"","","","","","",Q13}</f>
        <v/>
      </c>
      <c r="S6" s="24" t="s">
        <v>2</v>
      </c>
      <c r="T6" s="24" t="s">
        <v>2</v>
      </c>
      <c r="U6" s="24" t="s">
        <v>2</v>
      </c>
      <c r="V6" s="24" t="s">
        <v>2</v>
      </c>
      <c r="W6" s="24" t="s">
        <v>2</v>
      </c>
      <c r="X6" s="24"/>
      <c r="Y6" s="6"/>
    </row>
    <row r="7" ht="35.25" customHeight="1">
      <c r="A7" s="6"/>
      <c r="B7" s="69"/>
      <c r="C7" s="70"/>
      <c r="D7" s="71"/>
      <c r="E7" s="72"/>
      <c r="F7" s="70"/>
      <c r="G7" s="73"/>
      <c r="H7" s="74" t="s">
        <v>5</v>
      </c>
      <c r="I7" s="75" t="s">
        <v>6</v>
      </c>
      <c r="J7" s="75" t="s">
        <v>7</v>
      </c>
      <c r="K7" s="75"/>
      <c r="L7" s="10"/>
      <c r="M7" s="10"/>
      <c r="N7" s="10"/>
      <c r="O7" s="10"/>
      <c r="P7" s="10"/>
      <c r="Q7" s="10"/>
      <c r="R7" s="15" t="str">
        <f t="array" ref="R7:X7">{"","","","",O14,P14,""}</f>
        <v/>
      </c>
      <c r="S7" s="24" t="s">
        <v>2</v>
      </c>
      <c r="T7" s="24" t="s">
        <v>2</v>
      </c>
      <c r="U7" s="24" t="s">
        <v>2</v>
      </c>
      <c r="V7" s="24"/>
      <c r="W7" s="24"/>
      <c r="X7" s="24" t="s">
        <v>2</v>
      </c>
      <c r="Y7" s="6"/>
    </row>
    <row r="8" ht="35.25" customHeight="1">
      <c r="A8" s="6"/>
      <c r="B8" s="76"/>
      <c r="C8" s="77"/>
      <c r="D8" s="82" t="str">
        <f t="array" ref="D8">IF(AND(B2:G7=L9:Q14)=TRUE,"      SOLVED!","      UNSOLVED")</f>
        <v>      UNSOLVED</v>
      </c>
      <c r="E8" s="77"/>
      <c r="F8" s="77"/>
      <c r="G8" s="77"/>
      <c r="H8" s="6"/>
      <c r="I8" s="83"/>
      <c r="J8" s="83"/>
      <c r="K8" s="6"/>
      <c r="L8" s="84" t="s">
        <v>9</v>
      </c>
      <c r="M8" s="84"/>
      <c r="N8" s="85"/>
      <c r="O8" s="6"/>
      <c r="P8" s="6"/>
      <c r="Q8" s="6"/>
      <c r="R8" s="15"/>
      <c r="S8" s="86"/>
      <c r="T8" s="86"/>
      <c r="U8" s="87"/>
      <c r="V8" s="13" t="s">
        <v>10</v>
      </c>
      <c r="W8" s="86"/>
      <c r="X8" s="86"/>
      <c r="Y8" s="6"/>
    </row>
    <row r="9" ht="35.25" customHeight="1">
      <c r="A9" s="83"/>
      <c r="B9" s="83"/>
      <c r="C9" s="83"/>
      <c r="D9" s="83"/>
      <c r="E9" s="83"/>
      <c r="F9" s="83"/>
      <c r="G9" s="83"/>
      <c r="H9" s="83"/>
      <c r="I9" s="83"/>
      <c r="J9" s="83"/>
      <c r="K9" s="6"/>
      <c r="L9" s="88">
        <v>3.0</v>
      </c>
      <c r="M9" s="89"/>
      <c r="N9" s="89"/>
      <c r="O9" s="89"/>
      <c r="P9" s="89"/>
      <c r="Q9" s="89"/>
      <c r="R9" s="15" t="str">
        <f t="shared" ref="R9:R14" si="1">{"",L1:Q1}</f>
        <v/>
      </c>
      <c r="S9" s="90">
        <v>4.0</v>
      </c>
      <c r="T9" s="90">
        <v>3.0</v>
      </c>
      <c r="U9" s="90">
        <v>5.0</v>
      </c>
      <c r="V9" s="90">
        <v>1.0</v>
      </c>
      <c r="W9" s="90">
        <v>6.0</v>
      </c>
      <c r="X9" s="90">
        <v>2.0</v>
      </c>
      <c r="Y9" s="6"/>
    </row>
    <row r="10" ht="35.25" customHeight="1">
      <c r="A10" s="83"/>
      <c r="B10" s="91"/>
      <c r="C10" s="92"/>
      <c r="D10" s="91"/>
      <c r="E10" s="93" t="s">
        <v>11</v>
      </c>
      <c r="F10" s="94"/>
      <c r="G10" s="94"/>
      <c r="H10" s="94"/>
      <c r="I10" s="83"/>
      <c r="J10" s="83"/>
      <c r="K10" s="6"/>
      <c r="L10" s="89"/>
      <c r="M10" s="89"/>
      <c r="N10" s="89"/>
      <c r="O10" s="89"/>
      <c r="P10" s="89"/>
      <c r="Q10" s="89"/>
      <c r="R10" s="15" t="str">
        <f t="shared" si="1"/>
        <v/>
      </c>
      <c r="S10" s="90">
        <v>1.0</v>
      </c>
      <c r="T10" s="90">
        <v>6.0</v>
      </c>
      <c r="U10" s="90">
        <v>2.0</v>
      </c>
      <c r="V10" s="90">
        <v>4.0</v>
      </c>
      <c r="W10" s="90">
        <v>3.0</v>
      </c>
      <c r="X10" s="90">
        <v>5.0</v>
      </c>
      <c r="Y10" s="6"/>
    </row>
    <row r="11" ht="35.25" customHeight="1">
      <c r="A11" s="83"/>
      <c r="B11" s="94"/>
      <c r="C11" s="94"/>
      <c r="D11" s="91"/>
      <c r="E11" s="95" t="s">
        <v>12</v>
      </c>
      <c r="F11" s="94"/>
      <c r="G11" s="94"/>
      <c r="H11" s="94"/>
      <c r="I11" s="83"/>
      <c r="J11" s="83"/>
      <c r="K11" s="6"/>
      <c r="L11" s="89"/>
      <c r="M11" s="89"/>
      <c r="N11" s="89"/>
      <c r="O11" s="89"/>
      <c r="P11" s="89"/>
      <c r="Q11" s="89"/>
      <c r="R11" s="15" t="str">
        <f t="shared" si="1"/>
        <v/>
      </c>
      <c r="S11" s="90">
        <v>5.0</v>
      </c>
      <c r="T11" s="90">
        <v>1.0</v>
      </c>
      <c r="U11" s="90">
        <v>6.0</v>
      </c>
      <c r="V11" s="90">
        <v>2.0</v>
      </c>
      <c r="W11" s="90">
        <v>4.0</v>
      </c>
      <c r="X11" s="90">
        <v>3.0</v>
      </c>
      <c r="Y11" s="6"/>
    </row>
    <row r="12" ht="35.25" customHeight="1">
      <c r="A12" s="83"/>
      <c r="B12" s="94"/>
      <c r="C12" s="94"/>
      <c r="D12" s="94"/>
      <c r="E12" s="94"/>
      <c r="F12" s="94"/>
      <c r="G12" s="94"/>
      <c r="H12" s="94"/>
      <c r="I12" s="83"/>
      <c r="J12" s="83"/>
      <c r="K12" s="6"/>
      <c r="L12" s="89"/>
      <c r="M12" s="89"/>
      <c r="N12" s="89"/>
      <c r="O12" s="89"/>
      <c r="P12" s="89"/>
      <c r="Q12" s="89"/>
      <c r="R12" s="15" t="str">
        <f t="shared" si="1"/>
        <v/>
      </c>
      <c r="S12" s="90">
        <v>2.0</v>
      </c>
      <c r="T12" s="90">
        <v>4.0</v>
      </c>
      <c r="U12" s="90">
        <v>3.0</v>
      </c>
      <c r="V12" s="90">
        <v>5.0</v>
      </c>
      <c r="W12" s="90">
        <v>1.0</v>
      </c>
      <c r="X12" s="90">
        <v>6.0</v>
      </c>
      <c r="Y12" s="6"/>
    </row>
    <row r="13" ht="35.25" customHeight="1">
      <c r="A13" s="83"/>
      <c r="B13" s="94"/>
      <c r="C13" s="94"/>
      <c r="D13" s="91"/>
      <c r="E13" s="96" t="s">
        <v>13</v>
      </c>
      <c r="F13" s="94"/>
      <c r="G13" s="94"/>
      <c r="H13" s="94"/>
      <c r="I13" s="83"/>
      <c r="J13" s="83"/>
      <c r="K13" s="6"/>
      <c r="L13" s="89"/>
      <c r="M13" s="89"/>
      <c r="N13" s="89"/>
      <c r="O13" s="89"/>
      <c r="P13" s="89"/>
      <c r="Q13" s="89"/>
      <c r="R13" s="15" t="str">
        <f t="shared" si="1"/>
        <v/>
      </c>
      <c r="S13" s="90">
        <v>6.0</v>
      </c>
      <c r="T13" s="90">
        <v>2.0</v>
      </c>
      <c r="U13" s="90">
        <v>4.0</v>
      </c>
      <c r="V13" s="90">
        <v>3.0</v>
      </c>
      <c r="W13" s="90">
        <v>5.0</v>
      </c>
      <c r="X13" s="90">
        <v>1.0</v>
      </c>
      <c r="Y13" s="6"/>
    </row>
    <row r="14" ht="35.25" customHeight="1">
      <c r="A14" s="83"/>
      <c r="B14" s="94"/>
      <c r="C14" s="94"/>
      <c r="D14" s="94"/>
      <c r="E14" s="94"/>
      <c r="F14" s="94"/>
      <c r="G14" s="94"/>
      <c r="H14" s="94"/>
      <c r="I14" s="83"/>
      <c r="J14" s="83"/>
      <c r="K14" s="6"/>
      <c r="L14" s="89"/>
      <c r="M14" s="89"/>
      <c r="N14" s="89"/>
      <c r="O14" s="89"/>
      <c r="P14" s="89"/>
      <c r="Q14" s="89"/>
      <c r="R14" s="15" t="str">
        <f t="shared" si="1"/>
        <v/>
      </c>
      <c r="S14" s="90">
        <v>3.0</v>
      </c>
      <c r="T14" s="90">
        <v>5.0</v>
      </c>
      <c r="U14" s="90">
        <v>1.0</v>
      </c>
      <c r="V14" s="90">
        <v>6.0</v>
      </c>
      <c r="W14" s="90">
        <v>2.0</v>
      </c>
      <c r="X14" s="90">
        <v>4.0</v>
      </c>
      <c r="Y14" s="6"/>
    </row>
    <row r="15" ht="35.25" customHeight="1">
      <c r="A15" s="83"/>
      <c r="B15" s="83"/>
      <c r="C15" s="83"/>
      <c r="D15" s="83"/>
      <c r="E15" s="83"/>
      <c r="F15" s="83"/>
      <c r="G15" s="83"/>
      <c r="H15" s="83"/>
      <c r="I15" s="83"/>
      <c r="J15" s="83"/>
      <c r="K15" s="6"/>
      <c r="L15" s="6"/>
      <c r="M15" s="6"/>
      <c r="N15" s="6"/>
      <c r="O15" s="6"/>
      <c r="P15" s="6"/>
      <c r="Q15" s="6"/>
      <c r="R15" s="6"/>
      <c r="S15" s="74" t="s">
        <v>14</v>
      </c>
      <c r="T15" s="74" t="s">
        <v>14</v>
      </c>
      <c r="U15" s="74" t="s">
        <v>14</v>
      </c>
      <c r="V15" s="74" t="s">
        <v>14</v>
      </c>
      <c r="W15" s="74" t="s">
        <v>14</v>
      </c>
      <c r="X15" s="74" t="s">
        <v>14</v>
      </c>
      <c r="Y15" s="6"/>
    </row>
    <row r="16" ht="35.25" customHeight="1"/>
    <row r="17" ht="35.25" customHeight="1"/>
    <row r="18" ht="35.25" customHeight="1"/>
    <row r="19" ht="35.25" customHeight="1"/>
    <row r="20" ht="35.25" customHeight="1"/>
    <row r="21" ht="35.25" customHeight="1"/>
    <row r="22" ht="35.25" customHeight="1"/>
    <row r="23" ht="35.25" customHeight="1"/>
    <row r="24" ht="35.25" customHeight="1"/>
    <row r="25" ht="35.25" customHeight="1"/>
    <row r="26" ht="35.25" customHeight="1"/>
    <row r="27" ht="35.25" customHeight="1"/>
    <row r="28" ht="35.25" customHeight="1"/>
    <row r="29" ht="35.25" customHeight="1"/>
    <row r="30" ht="35.25" customHeight="1"/>
    <row r="31" ht="35.25" customHeight="1"/>
    <row r="32" ht="35.25" customHeight="1"/>
    <row r="33" ht="35.25" customHeight="1"/>
    <row r="34" ht="35.25" customHeight="1"/>
    <row r="35" ht="35.25" customHeight="1"/>
    <row r="36" ht="35.25" customHeight="1"/>
    <row r="37" ht="35.25" customHeight="1"/>
    <row r="38" ht="35.25" customHeight="1"/>
    <row r="39" ht="35.25" customHeight="1"/>
    <row r="40" ht="35.25" customHeight="1"/>
    <row r="41" ht="35.25" customHeight="1"/>
    <row r="42" ht="35.25" customHeight="1"/>
    <row r="43" ht="35.25" customHeight="1"/>
    <row r="44" ht="35.25" customHeight="1"/>
    <row r="45" ht="35.25" customHeight="1"/>
    <row r="46" ht="35.25" customHeight="1"/>
    <row r="47" ht="35.25" customHeight="1"/>
    <row r="48" ht="35.25" customHeight="1"/>
    <row r="49" ht="35.25" customHeight="1"/>
    <row r="50" ht="35.25" customHeight="1"/>
    <row r="51" ht="35.25" customHeight="1"/>
    <row r="52" ht="35.25" customHeight="1"/>
    <row r="53" ht="35.25" customHeight="1"/>
    <row r="54" ht="35.25" customHeight="1"/>
    <row r="55" ht="35.25" customHeight="1"/>
    <row r="56" ht="35.25" customHeight="1"/>
    <row r="57" ht="35.25" customHeight="1"/>
    <row r="58" ht="35.25" customHeight="1"/>
    <row r="59" ht="35.25" customHeight="1"/>
    <row r="60" ht="35.25" customHeight="1"/>
    <row r="61" ht="35.25" customHeight="1"/>
    <row r="62" ht="35.25" customHeight="1"/>
    <row r="63" ht="35.25" customHeight="1"/>
    <row r="64" ht="35.25" customHeight="1"/>
    <row r="65" ht="35.25" customHeight="1"/>
    <row r="66" ht="35.25" customHeight="1"/>
    <row r="67" ht="35.25" customHeight="1"/>
    <row r="68" ht="35.25" customHeight="1"/>
    <row r="69" ht="35.25" customHeight="1"/>
    <row r="70" ht="35.25" customHeight="1"/>
    <row r="71" ht="35.25" customHeight="1"/>
    <row r="72" ht="35.25" customHeight="1"/>
    <row r="73" ht="35.25" customHeight="1"/>
    <row r="74" ht="35.25" customHeight="1"/>
    <row r="75" ht="35.25" customHeight="1"/>
    <row r="76" ht="35.25" customHeight="1"/>
    <row r="77" ht="35.25" customHeight="1"/>
    <row r="78" ht="35.25" customHeight="1"/>
    <row r="79" ht="35.25" customHeight="1"/>
    <row r="80" ht="35.25" customHeight="1"/>
    <row r="81" ht="35.25" customHeight="1"/>
    <row r="82" ht="35.25" customHeight="1"/>
    <row r="83" ht="35.25" customHeight="1"/>
    <row r="84" ht="35.25" customHeight="1"/>
    <row r="85" ht="35.25" customHeight="1"/>
    <row r="86" ht="35.25" customHeight="1"/>
    <row r="87" ht="35.25" customHeight="1"/>
    <row r="88" ht="35.25" customHeight="1"/>
    <row r="89" ht="35.25" customHeight="1"/>
    <row r="90" ht="35.25" customHeight="1"/>
    <row r="91" ht="35.25" customHeight="1"/>
    <row r="92" ht="35.25" customHeight="1"/>
    <row r="93" ht="35.25" customHeight="1"/>
    <row r="94" ht="35.25" customHeight="1"/>
    <row r="95" ht="35.25" customHeight="1"/>
    <row r="96" ht="35.25" customHeight="1"/>
    <row r="97" ht="35.25" customHeight="1"/>
    <row r="98" ht="35.25" customHeight="1"/>
    <row r="99" ht="35.25" customHeight="1"/>
    <row r="100" ht="35.25" customHeight="1"/>
    <row r="101" ht="35.25" customHeight="1"/>
    <row r="102" ht="35.25" customHeight="1"/>
    <row r="103" ht="35.25" customHeight="1"/>
    <row r="104" ht="35.25" customHeight="1"/>
    <row r="105" ht="35.25" customHeight="1"/>
    <row r="106" ht="35.25" customHeight="1"/>
    <row r="107" ht="35.25" customHeight="1"/>
    <row r="108" ht="35.25" customHeight="1"/>
    <row r="109" ht="35.25" customHeight="1"/>
    <row r="110" ht="35.25" customHeight="1"/>
    <row r="111" ht="35.25" customHeight="1"/>
    <row r="112" ht="35.25" customHeight="1"/>
    <row r="113" ht="35.25" customHeight="1"/>
    <row r="114" ht="35.25" customHeight="1"/>
    <row r="115" ht="35.25" customHeight="1"/>
    <row r="116" ht="35.25" customHeight="1"/>
    <row r="117" ht="35.25" customHeight="1"/>
    <row r="118" ht="35.25" customHeight="1"/>
    <row r="119" ht="35.25" customHeight="1"/>
    <row r="120" ht="35.25" customHeight="1"/>
    <row r="121" ht="35.25" customHeight="1"/>
    <row r="122" ht="35.25" customHeight="1"/>
    <row r="123" ht="35.25" customHeight="1"/>
    <row r="124" ht="35.25" customHeight="1"/>
    <row r="125" ht="35.25" customHeight="1"/>
    <row r="126" ht="35.25" customHeight="1"/>
    <row r="127" ht="35.25" customHeight="1"/>
    <row r="128" ht="35.25" customHeight="1"/>
    <row r="129" ht="35.25" customHeight="1"/>
    <row r="130" ht="35.25" customHeight="1"/>
    <row r="131" ht="35.25" customHeight="1"/>
    <row r="132" ht="35.25" customHeight="1"/>
    <row r="133" ht="35.25" customHeight="1"/>
    <row r="134" ht="35.25" customHeight="1"/>
    <row r="135" ht="35.25" customHeight="1"/>
    <row r="136" ht="35.25" customHeight="1"/>
    <row r="137" ht="35.25" customHeight="1"/>
    <row r="138" ht="35.25" customHeight="1"/>
    <row r="139" ht="35.25" customHeight="1"/>
    <row r="140" ht="35.25" customHeight="1"/>
    <row r="141" ht="35.25" customHeight="1"/>
    <row r="142" ht="35.25" customHeight="1"/>
    <row r="143" ht="35.25" customHeight="1"/>
    <row r="144" ht="35.25" customHeight="1"/>
    <row r="145" ht="35.25" customHeight="1"/>
    <row r="146" ht="35.25" customHeight="1"/>
    <row r="147" ht="35.25" customHeight="1"/>
    <row r="148" ht="35.25" customHeight="1"/>
    <row r="149" ht="35.25" customHeight="1"/>
    <row r="150" ht="35.25" customHeight="1"/>
    <row r="151" ht="35.25" customHeight="1"/>
    <row r="152" ht="35.25" customHeight="1"/>
    <row r="153" ht="35.25" customHeight="1"/>
    <row r="154" ht="35.25" customHeight="1"/>
    <row r="155" ht="35.25" customHeight="1"/>
    <row r="156" ht="35.25" customHeight="1"/>
    <row r="157" ht="35.25" customHeight="1"/>
    <row r="158" ht="35.25" customHeight="1"/>
    <row r="159" ht="35.25" customHeight="1"/>
    <row r="160" ht="35.25" customHeight="1"/>
    <row r="161" ht="35.25" customHeight="1"/>
    <row r="162" ht="35.25" customHeight="1"/>
    <row r="163" ht="35.25" customHeight="1"/>
    <row r="164" ht="35.25" customHeight="1"/>
    <row r="165" ht="35.25" customHeight="1"/>
    <row r="166" ht="35.25" customHeight="1"/>
    <row r="167" ht="35.25" customHeight="1"/>
    <row r="168" ht="35.25" customHeight="1"/>
    <row r="169" ht="35.25" customHeight="1"/>
    <row r="170" ht="35.25" customHeight="1"/>
    <row r="171" ht="35.25" customHeight="1"/>
    <row r="172" ht="35.25" customHeight="1"/>
    <row r="173" ht="35.25" customHeight="1"/>
    <row r="174" ht="35.25" customHeight="1"/>
    <row r="175" ht="35.25" customHeight="1"/>
    <row r="176" ht="35.25" customHeight="1"/>
    <row r="177" ht="35.25" customHeight="1"/>
    <row r="178" ht="35.25" customHeight="1"/>
    <row r="179" ht="35.25" customHeight="1"/>
    <row r="180" ht="35.25" customHeight="1"/>
    <row r="181" ht="35.25" customHeight="1"/>
    <row r="182" ht="35.25" customHeight="1"/>
    <row r="183" ht="35.25" customHeight="1"/>
    <row r="184" ht="35.25" customHeight="1"/>
    <row r="185" ht="35.25" customHeight="1"/>
    <row r="186" ht="35.25" customHeight="1"/>
    <row r="187" ht="35.25" customHeight="1"/>
    <row r="188" ht="35.25" customHeight="1"/>
    <row r="189" ht="35.25" customHeight="1"/>
    <row r="190" ht="35.25" customHeight="1"/>
    <row r="191" ht="35.25" customHeight="1"/>
    <row r="192" ht="35.25" customHeight="1"/>
    <row r="193" ht="35.25" customHeight="1"/>
    <row r="194" ht="35.25" customHeight="1"/>
    <row r="195" ht="35.25" customHeight="1"/>
    <row r="196" ht="35.25" customHeight="1"/>
    <row r="197" ht="35.25" customHeight="1"/>
    <row r="198" ht="35.25" customHeight="1"/>
    <row r="199" ht="35.25" customHeight="1"/>
    <row r="200" ht="35.25" customHeight="1"/>
    <row r="201" ht="35.25" customHeight="1"/>
    <row r="202" ht="35.25" customHeight="1"/>
    <row r="203" ht="35.25" customHeight="1"/>
    <row r="204" ht="35.25" customHeight="1"/>
    <row r="205" ht="35.25" customHeight="1"/>
    <row r="206" ht="35.25" customHeight="1"/>
    <row r="207" ht="35.25" customHeight="1"/>
    <row r="208" ht="35.25" customHeight="1"/>
    <row r="209" ht="35.25" customHeight="1"/>
    <row r="210" ht="35.25" customHeight="1"/>
    <row r="211" ht="35.25" customHeight="1"/>
    <row r="212" ht="35.25" customHeight="1"/>
    <row r="213" ht="35.25" customHeight="1"/>
    <row r="214" ht="35.25" customHeight="1"/>
    <row r="215" ht="35.25" customHeight="1"/>
    <row r="216" ht="35.25" customHeight="1"/>
    <row r="217" ht="35.25" customHeight="1"/>
    <row r="218" ht="35.25" customHeight="1"/>
    <row r="219" ht="35.25" customHeight="1"/>
    <row r="220" ht="35.25" customHeight="1"/>
    <row r="221" ht="35.25" customHeight="1"/>
    <row r="222" ht="35.25" customHeight="1"/>
    <row r="223" ht="35.25" customHeight="1"/>
    <row r="224" ht="35.25" customHeight="1"/>
    <row r="225" ht="35.25" customHeight="1"/>
    <row r="226" ht="35.25" customHeight="1"/>
    <row r="227" ht="35.25" customHeight="1"/>
    <row r="228" ht="35.25" customHeight="1"/>
    <row r="229" ht="35.25" customHeight="1"/>
    <row r="230" ht="35.25" customHeight="1"/>
    <row r="231" ht="35.25" customHeight="1"/>
    <row r="232" ht="35.25" customHeight="1"/>
    <row r="233" ht="35.25" customHeight="1"/>
    <row r="234" ht="35.25" customHeight="1"/>
    <row r="235" ht="35.25" customHeight="1"/>
    <row r="236" ht="35.25" customHeight="1"/>
    <row r="237" ht="35.25" customHeight="1"/>
    <row r="238" ht="35.25" customHeight="1"/>
    <row r="239" ht="35.25" customHeight="1"/>
    <row r="240" ht="35.25" customHeight="1"/>
    <row r="241" ht="35.25" customHeight="1"/>
    <row r="242" ht="35.25" customHeight="1"/>
    <row r="243" ht="35.25" customHeight="1"/>
    <row r="244" ht="35.25" customHeight="1"/>
    <row r="245" ht="35.25" customHeight="1"/>
    <row r="246" ht="35.25" customHeight="1"/>
    <row r="247" ht="35.25" customHeight="1"/>
    <row r="248" ht="35.25" customHeight="1"/>
    <row r="249" ht="35.25" customHeight="1"/>
    <row r="250" ht="35.25" customHeight="1"/>
    <row r="251" ht="35.25" customHeight="1"/>
    <row r="252" ht="35.25" customHeight="1"/>
    <row r="253" ht="35.25" customHeight="1"/>
    <row r="254" ht="35.25" customHeight="1"/>
    <row r="255" ht="35.25" customHeight="1"/>
    <row r="256" ht="35.25" customHeight="1"/>
    <row r="257" ht="35.25" customHeight="1"/>
    <row r="258" ht="35.25" customHeight="1"/>
    <row r="259" ht="35.25" customHeight="1"/>
    <row r="260" ht="35.25" customHeight="1"/>
    <row r="261" ht="35.25" customHeight="1"/>
    <row r="262" ht="35.25" customHeight="1"/>
    <row r="263" ht="35.25" customHeight="1"/>
    <row r="264" ht="35.25" customHeight="1"/>
    <row r="265" ht="35.25" customHeight="1"/>
    <row r="266" ht="35.25" customHeight="1"/>
    <row r="267" ht="35.25" customHeight="1"/>
    <row r="268" ht="35.25" customHeight="1"/>
    <row r="269" ht="35.25" customHeight="1"/>
    <row r="270" ht="35.25" customHeight="1"/>
    <row r="271" ht="35.25" customHeight="1"/>
    <row r="272" ht="35.25" customHeight="1"/>
    <row r="273" ht="35.25" customHeight="1"/>
    <row r="274" ht="35.25" customHeight="1"/>
    <row r="275" ht="35.25" customHeight="1"/>
    <row r="276" ht="35.25" customHeight="1"/>
    <row r="277" ht="35.25" customHeight="1"/>
    <row r="278" ht="35.25" customHeight="1"/>
    <row r="279" ht="35.25" customHeight="1"/>
    <row r="280" ht="35.25" customHeight="1"/>
    <row r="281" ht="35.25" customHeight="1"/>
    <row r="282" ht="35.25" customHeight="1"/>
    <row r="283" ht="35.25" customHeight="1"/>
    <row r="284" ht="35.25" customHeight="1"/>
    <row r="285" ht="35.25" customHeight="1"/>
    <row r="286" ht="35.25" customHeight="1"/>
    <row r="287" ht="35.25" customHeight="1"/>
    <row r="288" ht="35.25" customHeight="1"/>
    <row r="289" ht="35.25" customHeight="1"/>
    <row r="290" ht="35.25" customHeight="1"/>
    <row r="291" ht="35.25" customHeight="1"/>
    <row r="292" ht="35.25" customHeight="1"/>
    <row r="293" ht="35.25" customHeight="1"/>
    <row r="294" ht="35.25" customHeight="1"/>
    <row r="295" ht="35.25" customHeight="1"/>
    <row r="296" ht="35.25" customHeight="1"/>
    <row r="297" ht="35.25" customHeight="1"/>
    <row r="298" ht="35.25" customHeight="1"/>
    <row r="299" ht="35.25" customHeight="1"/>
    <row r="300" ht="35.25" customHeight="1"/>
    <row r="301" ht="35.25" customHeight="1"/>
    <row r="302" ht="35.25" customHeight="1"/>
    <row r="303" ht="35.25" customHeight="1"/>
    <row r="304" ht="35.25" customHeight="1"/>
    <row r="305" ht="35.25" customHeight="1"/>
    <row r="306" ht="35.25" customHeight="1"/>
    <row r="307" ht="35.25" customHeight="1"/>
    <row r="308" ht="35.25" customHeight="1"/>
    <row r="309" ht="35.25" customHeight="1"/>
    <row r="310" ht="35.25" customHeight="1"/>
    <row r="311" ht="35.25" customHeight="1"/>
    <row r="312" ht="35.25" customHeight="1"/>
    <row r="313" ht="35.25" customHeight="1"/>
    <row r="314" ht="35.25" customHeight="1"/>
    <row r="315" ht="35.25" customHeight="1"/>
    <row r="316" ht="35.25" customHeight="1"/>
    <row r="317" ht="35.25" customHeight="1"/>
    <row r="318" ht="35.25" customHeight="1"/>
    <row r="319" ht="35.25" customHeight="1"/>
    <row r="320" ht="35.25" customHeight="1"/>
    <row r="321" ht="35.25" customHeight="1"/>
    <row r="322" ht="35.25" customHeight="1"/>
    <row r="323" ht="35.25" customHeight="1"/>
    <row r="324" ht="35.25" customHeight="1"/>
    <row r="325" ht="35.25" customHeight="1"/>
    <row r="326" ht="35.25" customHeight="1"/>
    <row r="327" ht="35.25" customHeight="1"/>
    <row r="328" ht="35.25" customHeight="1"/>
    <row r="329" ht="35.25" customHeight="1"/>
    <row r="330" ht="35.25" customHeight="1"/>
    <row r="331" ht="35.25" customHeight="1"/>
    <row r="332" ht="35.25" customHeight="1"/>
    <row r="333" ht="35.25" customHeight="1"/>
    <row r="334" ht="35.25" customHeight="1"/>
    <row r="335" ht="35.25" customHeight="1"/>
    <row r="336" ht="35.25" customHeight="1"/>
    <row r="337" ht="35.25" customHeight="1"/>
    <row r="338" ht="35.25" customHeight="1"/>
    <row r="339" ht="35.25" customHeight="1"/>
    <row r="340" ht="35.25" customHeight="1"/>
    <row r="341" ht="35.25" customHeight="1"/>
    <row r="342" ht="35.25" customHeight="1"/>
    <row r="343" ht="35.25" customHeight="1"/>
    <row r="344" ht="35.25" customHeight="1"/>
    <row r="345" ht="35.25" customHeight="1"/>
    <row r="346" ht="35.25" customHeight="1"/>
    <row r="347" ht="35.25" customHeight="1"/>
    <row r="348" ht="35.25" customHeight="1"/>
    <row r="349" ht="35.25" customHeight="1"/>
    <row r="350" ht="35.25" customHeight="1"/>
    <row r="351" ht="35.25" customHeight="1"/>
    <row r="352" ht="35.25" customHeight="1"/>
    <row r="353" ht="35.25" customHeight="1"/>
    <row r="354" ht="35.25" customHeight="1"/>
    <row r="355" ht="35.25" customHeight="1"/>
    <row r="356" ht="35.25" customHeight="1"/>
    <row r="357" ht="35.25" customHeight="1"/>
    <row r="358" ht="35.25" customHeight="1"/>
    <row r="359" ht="35.25" customHeight="1"/>
    <row r="360" ht="35.25" customHeight="1"/>
    <row r="361" ht="35.25" customHeight="1"/>
    <row r="362" ht="35.25" customHeight="1"/>
    <row r="363" ht="35.25" customHeight="1"/>
    <row r="364" ht="35.25" customHeight="1"/>
    <row r="365" ht="35.25" customHeight="1"/>
    <row r="366" ht="35.25" customHeight="1"/>
    <row r="367" ht="35.25" customHeight="1"/>
    <row r="368" ht="35.25" customHeight="1"/>
    <row r="369" ht="35.25" customHeight="1"/>
    <row r="370" ht="35.25" customHeight="1"/>
    <row r="371" ht="35.25" customHeight="1"/>
    <row r="372" ht="35.25" customHeight="1"/>
    <row r="373" ht="35.25" customHeight="1"/>
    <row r="374" ht="35.25" customHeight="1"/>
    <row r="375" ht="35.25" customHeight="1"/>
    <row r="376" ht="35.25" customHeight="1"/>
    <row r="377" ht="35.25" customHeight="1"/>
    <row r="378" ht="35.25" customHeight="1"/>
    <row r="379" ht="35.25" customHeight="1"/>
    <row r="380" ht="35.25" customHeight="1"/>
    <row r="381" ht="35.25" customHeight="1"/>
    <row r="382" ht="35.25" customHeight="1"/>
    <row r="383" ht="35.25" customHeight="1"/>
    <row r="384" ht="35.25" customHeight="1"/>
    <row r="385" ht="35.25" customHeight="1"/>
    <row r="386" ht="35.25" customHeight="1"/>
    <row r="387" ht="35.25" customHeight="1"/>
    <row r="388" ht="35.25" customHeight="1"/>
    <row r="389" ht="35.25" customHeight="1"/>
    <row r="390" ht="35.25" customHeight="1"/>
    <row r="391" ht="35.25" customHeight="1"/>
    <row r="392" ht="35.25" customHeight="1"/>
    <row r="393" ht="35.25" customHeight="1"/>
    <row r="394" ht="35.25" customHeight="1"/>
    <row r="395" ht="35.25" customHeight="1"/>
    <row r="396" ht="35.25" customHeight="1"/>
    <row r="397" ht="35.25" customHeight="1"/>
    <row r="398" ht="35.25" customHeight="1"/>
    <row r="399" ht="35.25" customHeight="1"/>
    <row r="400" ht="35.25" customHeight="1"/>
    <row r="401" ht="35.25" customHeight="1"/>
    <row r="402" ht="35.25" customHeight="1"/>
    <row r="403" ht="35.25" customHeight="1"/>
    <row r="404" ht="35.25" customHeight="1"/>
    <row r="405" ht="35.25" customHeight="1"/>
    <row r="406" ht="35.25" customHeight="1"/>
    <row r="407" ht="35.25" customHeight="1"/>
    <row r="408" ht="35.25" customHeight="1"/>
    <row r="409" ht="35.25" customHeight="1"/>
    <row r="410" ht="35.25" customHeight="1"/>
    <row r="411" ht="35.25" customHeight="1"/>
    <row r="412" ht="35.25" customHeight="1"/>
    <row r="413" ht="35.25" customHeight="1"/>
    <row r="414" ht="35.25" customHeight="1"/>
    <row r="415" ht="35.25" customHeight="1"/>
    <row r="416" ht="35.25" customHeight="1"/>
    <row r="417" ht="35.25" customHeight="1"/>
    <row r="418" ht="35.25" customHeight="1"/>
    <row r="419" ht="35.25" customHeight="1"/>
    <row r="420" ht="35.25" customHeight="1"/>
    <row r="421" ht="35.25" customHeight="1"/>
    <row r="422" ht="35.25" customHeight="1"/>
    <row r="423" ht="35.25" customHeight="1"/>
    <row r="424" ht="35.25" customHeight="1"/>
    <row r="425" ht="35.25" customHeight="1"/>
    <row r="426" ht="35.25" customHeight="1"/>
    <row r="427" ht="35.25" customHeight="1"/>
    <row r="428" ht="35.25" customHeight="1"/>
    <row r="429" ht="35.25" customHeight="1"/>
    <row r="430" ht="35.25" customHeight="1"/>
    <row r="431" ht="35.25" customHeight="1"/>
    <row r="432" ht="35.25" customHeight="1"/>
    <row r="433" ht="35.25" customHeight="1"/>
    <row r="434" ht="35.25" customHeight="1"/>
    <row r="435" ht="35.25" customHeight="1"/>
    <row r="436" ht="35.25" customHeight="1"/>
    <row r="437" ht="35.25" customHeight="1"/>
    <row r="438" ht="35.25" customHeight="1"/>
    <row r="439" ht="35.25" customHeight="1"/>
    <row r="440" ht="35.25" customHeight="1"/>
    <row r="441" ht="35.25" customHeight="1"/>
    <row r="442" ht="35.25" customHeight="1"/>
    <row r="443" ht="35.25" customHeight="1"/>
    <row r="444" ht="35.25" customHeight="1"/>
    <row r="445" ht="35.25" customHeight="1"/>
    <row r="446" ht="35.25" customHeight="1"/>
    <row r="447" ht="35.25" customHeight="1"/>
    <row r="448" ht="35.25" customHeight="1"/>
    <row r="449" ht="35.25" customHeight="1"/>
    <row r="450" ht="35.25" customHeight="1"/>
    <row r="451" ht="35.25" customHeight="1"/>
    <row r="452" ht="35.25" customHeight="1"/>
    <row r="453" ht="35.25" customHeight="1"/>
    <row r="454" ht="35.25" customHeight="1"/>
    <row r="455" ht="35.25" customHeight="1"/>
    <row r="456" ht="35.25" customHeight="1"/>
    <row r="457" ht="35.25" customHeight="1"/>
    <row r="458" ht="35.25" customHeight="1"/>
    <row r="459" ht="35.25" customHeight="1"/>
    <row r="460" ht="35.25" customHeight="1"/>
    <row r="461" ht="35.25" customHeight="1"/>
    <row r="462" ht="35.25" customHeight="1"/>
    <row r="463" ht="35.25" customHeight="1"/>
    <row r="464" ht="35.25" customHeight="1"/>
    <row r="465" ht="35.25" customHeight="1"/>
    <row r="466" ht="35.25" customHeight="1"/>
    <row r="467" ht="35.25" customHeight="1"/>
    <row r="468" ht="35.25" customHeight="1"/>
    <row r="469" ht="35.25" customHeight="1"/>
    <row r="470" ht="35.25" customHeight="1"/>
    <row r="471" ht="35.25" customHeight="1"/>
    <row r="472" ht="35.25" customHeight="1"/>
    <row r="473" ht="35.25" customHeight="1"/>
    <row r="474" ht="35.25" customHeight="1"/>
    <row r="475" ht="35.25" customHeight="1"/>
    <row r="476" ht="35.25" customHeight="1"/>
    <row r="477" ht="35.25" customHeight="1"/>
    <row r="478" ht="35.25" customHeight="1"/>
    <row r="479" ht="35.25" customHeight="1"/>
    <row r="480" ht="35.25" customHeight="1"/>
    <row r="481" ht="35.25" customHeight="1"/>
    <row r="482" ht="35.25" customHeight="1"/>
    <row r="483" ht="35.25" customHeight="1"/>
    <row r="484" ht="35.25" customHeight="1"/>
    <row r="485" ht="35.25" customHeight="1"/>
    <row r="486" ht="35.25" customHeight="1"/>
    <row r="487" ht="35.25" customHeight="1"/>
    <row r="488" ht="35.25" customHeight="1"/>
    <row r="489" ht="35.25" customHeight="1"/>
    <row r="490" ht="35.25" customHeight="1"/>
    <row r="491" ht="35.25" customHeight="1"/>
    <row r="492" ht="35.25" customHeight="1"/>
    <row r="493" ht="35.25" customHeight="1"/>
    <row r="494" ht="35.25" customHeight="1"/>
    <row r="495" ht="35.25" customHeight="1"/>
    <row r="496" ht="35.25" customHeight="1"/>
    <row r="497" ht="35.25" customHeight="1"/>
    <row r="498" ht="35.25" customHeight="1"/>
    <row r="499" ht="35.25" customHeight="1"/>
    <row r="500" ht="35.25" customHeight="1"/>
    <row r="501" ht="35.25" customHeight="1"/>
    <row r="502" ht="35.25" customHeight="1"/>
    <row r="503" ht="35.25" customHeight="1"/>
    <row r="504" ht="35.25" customHeight="1"/>
    <row r="505" ht="35.25" customHeight="1"/>
    <row r="506" ht="35.25" customHeight="1"/>
    <row r="507" ht="35.25" customHeight="1"/>
    <row r="508" ht="35.25" customHeight="1"/>
    <row r="509" ht="35.25" customHeight="1"/>
    <row r="510" ht="35.25" customHeight="1"/>
    <row r="511" ht="35.25" customHeight="1"/>
    <row r="512" ht="35.25" customHeight="1"/>
    <row r="513" ht="35.25" customHeight="1"/>
    <row r="514" ht="35.25" customHeight="1"/>
    <row r="515" ht="35.25" customHeight="1"/>
    <row r="516" ht="35.25" customHeight="1"/>
    <row r="517" ht="35.25" customHeight="1"/>
    <row r="518" ht="35.25" customHeight="1"/>
    <row r="519" ht="35.25" customHeight="1"/>
    <row r="520" ht="35.25" customHeight="1"/>
    <row r="521" ht="35.25" customHeight="1"/>
    <row r="522" ht="35.25" customHeight="1"/>
    <row r="523" ht="35.25" customHeight="1"/>
    <row r="524" ht="35.25" customHeight="1"/>
    <row r="525" ht="35.25" customHeight="1"/>
    <row r="526" ht="35.25" customHeight="1"/>
    <row r="527" ht="35.25" customHeight="1"/>
    <row r="528" ht="35.25" customHeight="1"/>
    <row r="529" ht="35.25" customHeight="1"/>
    <row r="530" ht="35.25" customHeight="1"/>
    <row r="531" ht="35.25" customHeight="1"/>
    <row r="532" ht="35.25" customHeight="1"/>
    <row r="533" ht="35.25" customHeight="1"/>
    <row r="534" ht="35.25" customHeight="1"/>
    <row r="535" ht="35.25" customHeight="1"/>
    <row r="536" ht="35.25" customHeight="1"/>
    <row r="537" ht="35.25" customHeight="1"/>
    <row r="538" ht="35.25" customHeight="1"/>
    <row r="539" ht="35.25" customHeight="1"/>
    <row r="540" ht="35.25" customHeight="1"/>
    <row r="541" ht="35.25" customHeight="1"/>
    <row r="542" ht="35.25" customHeight="1"/>
    <row r="543" ht="35.25" customHeight="1"/>
    <row r="544" ht="35.25" customHeight="1"/>
    <row r="545" ht="35.25" customHeight="1"/>
    <row r="546" ht="35.25" customHeight="1"/>
    <row r="547" ht="35.25" customHeight="1"/>
    <row r="548" ht="35.25" customHeight="1"/>
    <row r="549" ht="35.25" customHeight="1"/>
    <row r="550" ht="35.25" customHeight="1"/>
    <row r="551" ht="35.25" customHeight="1"/>
    <row r="552" ht="35.25" customHeight="1"/>
    <row r="553" ht="35.25" customHeight="1"/>
    <row r="554" ht="35.25" customHeight="1"/>
    <row r="555" ht="35.25" customHeight="1"/>
    <row r="556" ht="35.25" customHeight="1"/>
    <row r="557" ht="35.25" customHeight="1"/>
    <row r="558" ht="35.25" customHeight="1"/>
    <row r="559" ht="35.25" customHeight="1"/>
    <row r="560" ht="35.25" customHeight="1"/>
    <row r="561" ht="35.25" customHeight="1"/>
    <row r="562" ht="35.25" customHeight="1"/>
    <row r="563" ht="35.25" customHeight="1"/>
    <row r="564" ht="35.25" customHeight="1"/>
    <row r="565" ht="35.25" customHeight="1"/>
    <row r="566" ht="35.25" customHeight="1"/>
    <row r="567" ht="35.25" customHeight="1"/>
    <row r="568" ht="35.25" customHeight="1"/>
    <row r="569" ht="35.25" customHeight="1"/>
    <row r="570" ht="35.25" customHeight="1"/>
    <row r="571" ht="35.25" customHeight="1"/>
    <row r="572" ht="35.25" customHeight="1"/>
    <row r="573" ht="35.25" customHeight="1"/>
    <row r="574" ht="35.25" customHeight="1"/>
    <row r="575" ht="35.25" customHeight="1"/>
    <row r="576" ht="35.25" customHeight="1"/>
    <row r="577" ht="35.25" customHeight="1"/>
    <row r="578" ht="35.25" customHeight="1"/>
    <row r="579" ht="35.25" customHeight="1"/>
    <row r="580" ht="35.25" customHeight="1"/>
    <row r="581" ht="35.25" customHeight="1"/>
    <row r="582" ht="35.25" customHeight="1"/>
    <row r="583" ht="35.25" customHeight="1"/>
    <row r="584" ht="35.25" customHeight="1"/>
    <row r="585" ht="35.25" customHeight="1"/>
    <row r="586" ht="35.25" customHeight="1"/>
    <row r="587" ht="35.25" customHeight="1"/>
    <row r="588" ht="35.25" customHeight="1"/>
    <row r="589" ht="35.25" customHeight="1"/>
    <row r="590" ht="35.25" customHeight="1"/>
    <row r="591" ht="35.25" customHeight="1"/>
    <row r="592" ht="35.25" customHeight="1"/>
    <row r="593" ht="35.25" customHeight="1"/>
    <row r="594" ht="35.25" customHeight="1"/>
    <row r="595" ht="35.25" customHeight="1"/>
    <row r="596" ht="35.25" customHeight="1"/>
    <row r="597" ht="35.25" customHeight="1"/>
    <row r="598" ht="35.25" customHeight="1"/>
    <row r="599" ht="35.25" customHeight="1"/>
    <row r="600" ht="35.25" customHeight="1"/>
    <row r="601" ht="35.25" customHeight="1"/>
    <row r="602" ht="35.25" customHeight="1"/>
    <row r="603" ht="35.25" customHeight="1"/>
    <row r="604" ht="35.25" customHeight="1"/>
    <row r="605" ht="35.25" customHeight="1"/>
    <row r="606" ht="35.25" customHeight="1"/>
    <row r="607" ht="35.25" customHeight="1"/>
    <row r="608" ht="35.25" customHeight="1"/>
    <row r="609" ht="35.25" customHeight="1"/>
    <row r="610" ht="35.25" customHeight="1"/>
    <row r="611" ht="35.25" customHeight="1"/>
    <row r="612" ht="35.25" customHeight="1"/>
    <row r="613" ht="35.25" customHeight="1"/>
    <row r="614" ht="35.25" customHeight="1"/>
    <row r="615" ht="35.25" customHeight="1"/>
    <row r="616" ht="35.25" customHeight="1"/>
    <row r="617" ht="35.25" customHeight="1"/>
    <row r="618" ht="35.25" customHeight="1"/>
    <row r="619" ht="35.25" customHeight="1"/>
    <row r="620" ht="35.25" customHeight="1"/>
    <row r="621" ht="35.25" customHeight="1"/>
    <row r="622" ht="35.25" customHeight="1"/>
    <row r="623" ht="35.25" customHeight="1"/>
    <row r="624" ht="35.25" customHeight="1"/>
    <row r="625" ht="35.25" customHeight="1"/>
    <row r="626" ht="35.25" customHeight="1"/>
    <row r="627" ht="35.25" customHeight="1"/>
    <row r="628" ht="35.25" customHeight="1"/>
    <row r="629" ht="35.25" customHeight="1"/>
    <row r="630" ht="35.25" customHeight="1"/>
    <row r="631" ht="35.25" customHeight="1"/>
    <row r="632" ht="35.25" customHeight="1"/>
    <row r="633" ht="35.25" customHeight="1"/>
    <row r="634" ht="35.25" customHeight="1"/>
    <row r="635" ht="35.25" customHeight="1"/>
    <row r="636" ht="35.25" customHeight="1"/>
    <row r="637" ht="35.25" customHeight="1"/>
    <row r="638" ht="35.25" customHeight="1"/>
    <row r="639" ht="35.25" customHeight="1"/>
    <row r="640" ht="35.25" customHeight="1"/>
    <row r="641" ht="35.25" customHeight="1"/>
    <row r="642" ht="35.25" customHeight="1"/>
    <row r="643" ht="35.25" customHeight="1"/>
    <row r="644" ht="35.25" customHeight="1"/>
    <row r="645" ht="35.25" customHeight="1"/>
    <row r="646" ht="35.25" customHeight="1"/>
    <row r="647" ht="35.25" customHeight="1"/>
    <row r="648" ht="35.25" customHeight="1"/>
    <row r="649" ht="35.25" customHeight="1"/>
    <row r="650" ht="35.25" customHeight="1"/>
    <row r="651" ht="35.25" customHeight="1"/>
    <row r="652" ht="35.25" customHeight="1"/>
    <row r="653" ht="35.25" customHeight="1"/>
    <row r="654" ht="35.25" customHeight="1"/>
    <row r="655" ht="35.25" customHeight="1"/>
    <row r="656" ht="35.25" customHeight="1"/>
    <row r="657" ht="35.25" customHeight="1"/>
    <row r="658" ht="35.25" customHeight="1"/>
    <row r="659" ht="35.25" customHeight="1"/>
    <row r="660" ht="35.25" customHeight="1"/>
    <row r="661" ht="35.25" customHeight="1"/>
    <row r="662" ht="35.25" customHeight="1"/>
    <row r="663" ht="35.25" customHeight="1"/>
    <row r="664" ht="35.25" customHeight="1"/>
    <row r="665" ht="35.25" customHeight="1"/>
    <row r="666" ht="35.25" customHeight="1"/>
    <row r="667" ht="35.25" customHeight="1"/>
    <row r="668" ht="35.25" customHeight="1"/>
    <row r="669" ht="35.25" customHeight="1"/>
    <row r="670" ht="35.25" customHeight="1"/>
    <row r="671" ht="35.25" customHeight="1"/>
    <row r="672" ht="35.25" customHeight="1"/>
    <row r="673" ht="35.25" customHeight="1"/>
    <row r="674" ht="35.25" customHeight="1"/>
    <row r="675" ht="35.25" customHeight="1"/>
    <row r="676" ht="35.25" customHeight="1"/>
    <row r="677" ht="35.25" customHeight="1"/>
    <row r="678" ht="35.25" customHeight="1"/>
    <row r="679" ht="35.25" customHeight="1"/>
    <row r="680" ht="35.25" customHeight="1"/>
    <row r="681" ht="35.25" customHeight="1"/>
    <row r="682" ht="35.25" customHeight="1"/>
    <row r="683" ht="35.25" customHeight="1"/>
    <row r="684" ht="35.25" customHeight="1"/>
    <row r="685" ht="35.25" customHeight="1"/>
    <row r="686" ht="35.25" customHeight="1"/>
    <row r="687" ht="35.25" customHeight="1"/>
    <row r="688" ht="35.25" customHeight="1"/>
    <row r="689" ht="35.25" customHeight="1"/>
    <row r="690" ht="35.25" customHeight="1"/>
    <row r="691" ht="35.25" customHeight="1"/>
    <row r="692" ht="35.25" customHeight="1"/>
    <row r="693" ht="35.25" customHeight="1"/>
    <row r="694" ht="35.25" customHeight="1"/>
    <row r="695" ht="35.25" customHeight="1"/>
    <row r="696" ht="35.25" customHeight="1"/>
    <row r="697" ht="35.25" customHeight="1"/>
    <row r="698" ht="35.25" customHeight="1"/>
    <row r="699" ht="35.25" customHeight="1"/>
    <row r="700" ht="35.25" customHeight="1"/>
    <row r="701" ht="35.25" customHeight="1"/>
    <row r="702" ht="35.25" customHeight="1"/>
    <row r="703" ht="35.25" customHeight="1"/>
    <row r="704" ht="35.25" customHeight="1"/>
    <row r="705" ht="35.25" customHeight="1"/>
    <row r="706" ht="35.25" customHeight="1"/>
    <row r="707" ht="35.25" customHeight="1"/>
    <row r="708" ht="35.25" customHeight="1"/>
    <row r="709" ht="35.25" customHeight="1"/>
    <row r="710" ht="35.25" customHeight="1"/>
    <row r="711" ht="35.25" customHeight="1"/>
    <row r="712" ht="35.25" customHeight="1"/>
    <row r="713" ht="35.25" customHeight="1"/>
    <row r="714" ht="35.25" customHeight="1"/>
    <row r="715" ht="35.25" customHeight="1"/>
    <row r="716" ht="35.25" customHeight="1"/>
    <row r="717" ht="35.25" customHeight="1"/>
    <row r="718" ht="35.25" customHeight="1"/>
    <row r="719" ht="35.25" customHeight="1"/>
    <row r="720" ht="35.25" customHeight="1"/>
    <row r="721" ht="35.25" customHeight="1"/>
    <row r="722" ht="35.25" customHeight="1"/>
    <row r="723" ht="35.25" customHeight="1"/>
    <row r="724" ht="35.25" customHeight="1"/>
    <row r="725" ht="35.25" customHeight="1"/>
    <row r="726" ht="35.25" customHeight="1"/>
    <row r="727" ht="35.25" customHeight="1"/>
    <row r="728" ht="35.25" customHeight="1"/>
    <row r="729" ht="35.25" customHeight="1"/>
    <row r="730" ht="35.25" customHeight="1"/>
    <row r="731" ht="35.25" customHeight="1"/>
    <row r="732" ht="35.25" customHeight="1"/>
    <row r="733" ht="35.25" customHeight="1"/>
    <row r="734" ht="35.25" customHeight="1"/>
    <row r="735" ht="35.25" customHeight="1"/>
    <row r="736" ht="35.25" customHeight="1"/>
    <row r="737" ht="35.25" customHeight="1"/>
    <row r="738" ht="35.25" customHeight="1"/>
    <row r="739" ht="35.25" customHeight="1"/>
    <row r="740" ht="35.25" customHeight="1"/>
    <row r="741" ht="35.25" customHeight="1"/>
    <row r="742" ht="35.25" customHeight="1"/>
    <row r="743" ht="35.25" customHeight="1"/>
    <row r="744" ht="35.25" customHeight="1"/>
    <row r="745" ht="35.25" customHeight="1"/>
    <row r="746" ht="35.25" customHeight="1"/>
    <row r="747" ht="35.25" customHeight="1"/>
    <row r="748" ht="35.25" customHeight="1"/>
    <row r="749" ht="35.25" customHeight="1"/>
    <row r="750" ht="35.25" customHeight="1"/>
    <row r="751" ht="35.25" customHeight="1"/>
    <row r="752" ht="35.25" customHeight="1"/>
    <row r="753" ht="35.25" customHeight="1"/>
    <row r="754" ht="35.25" customHeight="1"/>
    <row r="755" ht="35.25" customHeight="1"/>
    <row r="756" ht="35.25" customHeight="1"/>
    <row r="757" ht="35.25" customHeight="1"/>
    <row r="758" ht="35.25" customHeight="1"/>
    <row r="759" ht="35.25" customHeight="1"/>
    <row r="760" ht="35.25" customHeight="1"/>
    <row r="761" ht="35.25" customHeight="1"/>
    <row r="762" ht="35.25" customHeight="1"/>
    <row r="763" ht="35.25" customHeight="1"/>
    <row r="764" ht="35.25" customHeight="1"/>
    <row r="765" ht="35.25" customHeight="1"/>
    <row r="766" ht="35.25" customHeight="1"/>
    <row r="767" ht="35.25" customHeight="1"/>
    <row r="768" ht="35.25" customHeight="1"/>
    <row r="769" ht="35.25" customHeight="1"/>
    <row r="770" ht="35.25" customHeight="1"/>
    <row r="771" ht="35.25" customHeight="1"/>
    <row r="772" ht="35.25" customHeight="1"/>
    <row r="773" ht="35.25" customHeight="1"/>
    <row r="774" ht="35.25" customHeight="1"/>
    <row r="775" ht="35.25" customHeight="1"/>
    <row r="776" ht="35.25" customHeight="1"/>
    <row r="777" ht="35.25" customHeight="1"/>
    <row r="778" ht="35.25" customHeight="1"/>
    <row r="779" ht="35.25" customHeight="1"/>
    <row r="780" ht="35.25" customHeight="1"/>
    <row r="781" ht="35.25" customHeight="1"/>
    <row r="782" ht="35.25" customHeight="1"/>
    <row r="783" ht="35.25" customHeight="1"/>
    <row r="784" ht="35.25" customHeight="1"/>
    <row r="785" ht="35.25" customHeight="1"/>
    <row r="786" ht="35.25" customHeight="1"/>
    <row r="787" ht="35.25" customHeight="1"/>
    <row r="788" ht="35.25" customHeight="1"/>
    <row r="789" ht="35.25" customHeight="1"/>
    <row r="790" ht="35.25" customHeight="1"/>
    <row r="791" ht="35.25" customHeight="1"/>
    <row r="792" ht="35.25" customHeight="1"/>
    <row r="793" ht="35.25" customHeight="1"/>
    <row r="794" ht="35.25" customHeight="1"/>
    <row r="795" ht="35.25" customHeight="1"/>
    <row r="796" ht="35.25" customHeight="1"/>
    <row r="797" ht="35.25" customHeight="1"/>
    <row r="798" ht="35.25" customHeight="1"/>
    <row r="799" ht="35.25" customHeight="1"/>
    <row r="800" ht="35.25" customHeight="1"/>
    <row r="801" ht="35.25" customHeight="1"/>
    <row r="802" ht="35.25" customHeight="1"/>
    <row r="803" ht="35.25" customHeight="1"/>
    <row r="804" ht="35.25" customHeight="1"/>
    <row r="805" ht="35.25" customHeight="1"/>
    <row r="806" ht="35.25" customHeight="1"/>
    <row r="807" ht="35.25" customHeight="1"/>
    <row r="808" ht="35.25" customHeight="1"/>
    <row r="809" ht="35.25" customHeight="1"/>
    <row r="810" ht="35.25" customHeight="1"/>
    <row r="811" ht="35.25" customHeight="1"/>
    <row r="812" ht="35.25" customHeight="1"/>
    <row r="813" ht="35.25" customHeight="1"/>
    <row r="814" ht="35.25" customHeight="1"/>
    <row r="815" ht="35.25" customHeight="1"/>
    <row r="816" ht="35.25" customHeight="1"/>
    <row r="817" ht="35.25" customHeight="1"/>
    <row r="818" ht="35.25" customHeight="1"/>
    <row r="819" ht="35.25" customHeight="1"/>
    <row r="820" ht="35.25" customHeight="1"/>
    <row r="821" ht="35.25" customHeight="1"/>
    <row r="822" ht="35.25" customHeight="1"/>
    <row r="823" ht="35.25" customHeight="1"/>
    <row r="824" ht="35.25" customHeight="1"/>
    <row r="825" ht="35.25" customHeight="1"/>
    <row r="826" ht="35.25" customHeight="1"/>
    <row r="827" ht="35.25" customHeight="1"/>
    <row r="828" ht="35.25" customHeight="1"/>
    <row r="829" ht="35.25" customHeight="1"/>
    <row r="830" ht="35.25" customHeight="1"/>
    <row r="831" ht="35.25" customHeight="1"/>
    <row r="832" ht="35.25" customHeight="1"/>
    <row r="833" ht="35.25" customHeight="1"/>
    <row r="834" ht="35.25" customHeight="1"/>
    <row r="835" ht="35.25" customHeight="1"/>
    <row r="836" ht="35.25" customHeight="1"/>
    <row r="837" ht="35.25" customHeight="1"/>
    <row r="838" ht="35.25" customHeight="1"/>
    <row r="839" ht="35.25" customHeight="1"/>
    <row r="840" ht="35.25" customHeight="1"/>
    <row r="841" ht="35.25" customHeight="1"/>
    <row r="842" ht="35.25" customHeight="1"/>
    <row r="843" ht="35.25" customHeight="1"/>
    <row r="844" ht="35.25" customHeight="1"/>
    <row r="845" ht="35.25" customHeight="1"/>
    <row r="846" ht="35.25" customHeight="1"/>
    <row r="847" ht="35.25" customHeight="1"/>
    <row r="848" ht="35.25" customHeight="1"/>
    <row r="849" ht="35.25" customHeight="1"/>
    <row r="850" ht="35.25" customHeight="1"/>
    <row r="851" ht="35.25" customHeight="1"/>
    <row r="852" ht="35.25" customHeight="1"/>
    <row r="853" ht="35.25" customHeight="1"/>
    <row r="854" ht="35.25" customHeight="1"/>
    <row r="855" ht="35.25" customHeight="1"/>
    <row r="856" ht="35.25" customHeight="1"/>
    <row r="857" ht="35.25" customHeight="1"/>
    <row r="858" ht="35.25" customHeight="1"/>
    <row r="859" ht="35.25" customHeight="1"/>
    <row r="860" ht="35.25" customHeight="1"/>
    <row r="861" ht="35.25" customHeight="1"/>
    <row r="862" ht="35.25" customHeight="1"/>
    <row r="863" ht="35.25" customHeight="1"/>
    <row r="864" ht="35.25" customHeight="1"/>
    <row r="865" ht="35.25" customHeight="1"/>
    <row r="866" ht="35.25" customHeight="1"/>
    <row r="867" ht="35.25" customHeight="1"/>
    <row r="868" ht="35.25" customHeight="1"/>
    <row r="869" ht="35.25" customHeight="1"/>
    <row r="870" ht="35.25" customHeight="1"/>
    <row r="871" ht="35.25" customHeight="1"/>
    <row r="872" ht="35.25" customHeight="1"/>
    <row r="873" ht="35.25" customHeight="1"/>
    <row r="874" ht="35.25" customHeight="1"/>
    <row r="875" ht="35.25" customHeight="1"/>
    <row r="876" ht="35.25" customHeight="1"/>
    <row r="877" ht="35.25" customHeight="1"/>
    <row r="878" ht="35.25" customHeight="1"/>
    <row r="879" ht="35.25" customHeight="1"/>
    <row r="880" ht="35.25" customHeight="1"/>
    <row r="881" ht="35.25" customHeight="1"/>
    <row r="882" ht="35.25" customHeight="1"/>
    <row r="883" ht="35.25" customHeight="1"/>
    <row r="884" ht="35.25" customHeight="1"/>
    <row r="885" ht="35.25" customHeight="1"/>
    <row r="886" ht="35.25" customHeight="1"/>
    <row r="887" ht="35.25" customHeight="1"/>
    <row r="888" ht="35.25" customHeight="1"/>
    <row r="889" ht="35.25" customHeight="1"/>
    <row r="890" ht="35.25" customHeight="1"/>
    <row r="891" ht="35.25" customHeight="1"/>
    <row r="892" ht="35.25" customHeight="1"/>
    <row r="893" ht="35.25" customHeight="1"/>
    <row r="894" ht="35.25" customHeight="1"/>
    <row r="895" ht="35.25" customHeight="1"/>
    <row r="896" ht="35.25" customHeight="1"/>
    <row r="897" ht="35.25" customHeight="1"/>
    <row r="898" ht="35.25" customHeight="1"/>
    <row r="899" ht="35.25" customHeight="1"/>
    <row r="900" ht="35.25" customHeight="1"/>
    <row r="901" ht="35.25" customHeight="1"/>
    <row r="902" ht="35.25" customHeight="1"/>
    <row r="903" ht="35.25" customHeight="1"/>
    <row r="904" ht="35.25" customHeight="1"/>
    <row r="905" ht="35.25" customHeight="1"/>
    <row r="906" ht="35.25" customHeight="1"/>
    <row r="907" ht="35.25" customHeight="1"/>
    <row r="908" ht="35.25" customHeight="1"/>
    <row r="909" ht="35.25" customHeight="1"/>
    <row r="910" ht="35.25" customHeight="1"/>
    <row r="911" ht="35.25" customHeight="1"/>
    <row r="912" ht="35.25" customHeight="1"/>
    <row r="913" ht="35.25" customHeight="1"/>
    <row r="914" ht="35.25" customHeight="1"/>
    <row r="915" ht="35.25" customHeight="1"/>
    <row r="916" ht="35.25" customHeight="1"/>
    <row r="917" ht="35.25" customHeight="1"/>
    <row r="918" ht="35.25" customHeight="1"/>
    <row r="919" ht="35.25" customHeight="1"/>
    <row r="920" ht="35.25" customHeight="1"/>
    <row r="921" ht="35.25" customHeight="1"/>
    <row r="922" ht="35.25" customHeight="1"/>
    <row r="923" ht="35.25" customHeight="1"/>
    <row r="924" ht="35.25" customHeight="1"/>
    <row r="925" ht="35.25" customHeight="1"/>
    <row r="926" ht="35.25" customHeight="1"/>
    <row r="927" ht="35.25" customHeight="1"/>
    <row r="928" ht="35.25" customHeight="1"/>
    <row r="929" ht="35.25" customHeight="1"/>
    <row r="930" ht="35.25" customHeight="1"/>
    <row r="931" ht="35.25" customHeight="1"/>
    <row r="932" ht="35.25" customHeight="1"/>
    <row r="933" ht="35.25" customHeight="1"/>
    <row r="934" ht="35.25" customHeight="1"/>
    <row r="935" ht="35.25" customHeight="1"/>
    <row r="936" ht="35.25" customHeight="1"/>
    <row r="937" ht="35.25" customHeight="1"/>
    <row r="938" ht="35.25" customHeight="1"/>
    <row r="939" ht="35.25" customHeight="1"/>
    <row r="940" ht="35.25" customHeight="1"/>
    <row r="941" ht="35.25" customHeight="1"/>
    <row r="942" ht="35.25" customHeight="1"/>
    <row r="943" ht="35.25" customHeight="1"/>
    <row r="944" ht="35.25" customHeight="1"/>
    <row r="945" ht="35.25" customHeight="1"/>
    <row r="946" ht="35.25" customHeight="1"/>
    <row r="947" ht="35.25" customHeight="1"/>
    <row r="948" ht="35.25" customHeight="1"/>
    <row r="949" ht="35.25" customHeight="1"/>
    <row r="950" ht="35.25" customHeight="1"/>
    <row r="951" ht="35.25" customHeight="1"/>
    <row r="952" ht="35.25" customHeight="1"/>
    <row r="953" ht="35.25" customHeight="1"/>
    <row r="954" ht="35.25" customHeight="1"/>
    <row r="955" ht="35.25" customHeight="1"/>
    <row r="956" ht="35.25" customHeight="1"/>
    <row r="957" ht="35.25" customHeight="1"/>
    <row r="958" ht="35.25" customHeight="1"/>
    <row r="959" ht="35.25" customHeight="1"/>
    <row r="960" ht="35.25" customHeight="1"/>
    <row r="961" ht="35.25" customHeight="1"/>
    <row r="962" ht="35.25" customHeight="1"/>
    <row r="963" ht="35.25" customHeight="1"/>
    <row r="964" ht="35.25" customHeight="1"/>
    <row r="965" ht="35.25" customHeight="1"/>
    <row r="966" ht="35.25" customHeight="1"/>
    <row r="967" ht="35.25" customHeight="1"/>
    <row r="968" ht="35.25" customHeight="1"/>
    <row r="969" ht="35.25" customHeight="1"/>
    <row r="970" ht="35.25" customHeight="1"/>
    <row r="971" ht="35.25" customHeight="1"/>
    <row r="972" ht="35.25" customHeight="1"/>
    <row r="973" ht="35.25" customHeight="1"/>
    <row r="974" ht="35.25" customHeight="1"/>
    <row r="975" ht="35.25" customHeight="1"/>
    <row r="976" ht="35.25" customHeight="1"/>
    <row r="977" ht="35.25" customHeight="1"/>
    <row r="978" ht="35.25" customHeight="1"/>
    <row r="979" ht="35.25" customHeight="1"/>
    <row r="980" ht="35.25" customHeight="1"/>
    <row r="981" ht="35.25" customHeight="1"/>
    <row r="982" ht="35.25" customHeight="1"/>
    <row r="983" ht="35.25" customHeight="1"/>
    <row r="984" ht="35.25" customHeight="1"/>
    <row r="985" ht="35.25" customHeight="1"/>
    <row r="986" ht="35.25" customHeight="1"/>
    <row r="987" ht="35.25" customHeight="1"/>
    <row r="988" ht="35.25" customHeight="1"/>
    <row r="989" ht="35.25" customHeight="1"/>
    <row r="990" ht="35.25" customHeight="1"/>
    <row r="991" ht="35.25" customHeight="1"/>
    <row r="992" ht="35.25" customHeight="1"/>
    <row r="993" ht="35.25" customHeight="1"/>
    <row r="994" ht="35.25" customHeight="1"/>
    <row r="995" ht="35.25" customHeight="1"/>
    <row r="996" ht="35.25" customHeight="1"/>
    <row r="997" ht="35.25" customHeight="1"/>
    <row r="998" ht="35.25" customHeight="1"/>
    <row r="999" ht="35.25" customHeight="1"/>
    <row r="1000" ht="35.25" customHeight="1"/>
  </sheetData>
  <conditionalFormatting sqref="B2:G7">
    <cfRule type="notContainsText" dxfId="0" priority="1" operator="notContains" text="ABCDEFGHIJ">
      <formula>ISERROR(SEARCH(("ABCDEFGHIJ"),(B2)))</formula>
    </cfRule>
  </conditionalFormatting>
  <conditionalFormatting sqref="S9:X15">
    <cfRule type="notContainsText" dxfId="1" priority="2" operator="notContains" text="abcdefghij">
      <formula>ISERROR(SEARCH(("abcdefghij"),(S9)))</formula>
    </cfRule>
  </conditionalFormatting>
  <conditionalFormatting sqref="D8">
    <cfRule type="containsText" dxfId="2" priority="3" operator="containsText" text="UNSOLVED">
      <formula>NOT(ISERROR(SEARCH(("UNSOLVED"),(D8))))</formula>
    </cfRule>
  </conditionalFormatting>
  <conditionalFormatting sqref="B8">
    <cfRule type="expression" dxfId="2" priority="4">
      <formula>SEARCH("UNSOLVED",D8)</formula>
    </cfRule>
  </conditionalFormatting>
  <conditionalFormatting sqref="C8">
    <cfRule type="expression" dxfId="2" priority="5">
      <formula>SEARCH("UNSOLVED",D8)</formula>
    </cfRule>
  </conditionalFormatting>
  <conditionalFormatting sqref="E8">
    <cfRule type="expression" dxfId="2" priority="6">
      <formula>SEARCH("UNSOLVED",D8)</formula>
    </cfRule>
  </conditionalFormatting>
  <conditionalFormatting sqref="F8">
    <cfRule type="expression" dxfId="2" priority="7">
      <formula>SEARCH("UNSOLVED",D8)</formula>
    </cfRule>
  </conditionalFormatting>
  <conditionalFormatting sqref="G8">
    <cfRule type="expression" dxfId="2" priority="8">
      <formula>SEARCH("UNSOLVED",D8)</formula>
    </cfRule>
  </conditionalFormatting>
  <conditionalFormatting sqref="D8">
    <cfRule type="containsText" dxfId="3" priority="9" operator="containsText" text="SOLVED!">
      <formula>NOT(ISERROR(SEARCH(("SOLVED!"),(D8))))</formula>
    </cfRule>
  </conditionalFormatting>
  <conditionalFormatting sqref="B8">
    <cfRule type="expression" dxfId="3" priority="10">
      <formula>SEARCH("SOLVED",D8)</formula>
    </cfRule>
  </conditionalFormatting>
  <conditionalFormatting sqref="C8">
    <cfRule type="expression" dxfId="3" priority="11">
      <formula>SEARCH("SOLVED",D8)</formula>
    </cfRule>
  </conditionalFormatting>
  <conditionalFormatting sqref="E8">
    <cfRule type="expression" dxfId="3" priority="12">
      <formula>SEARCH("SOLVED",D8)</formula>
    </cfRule>
  </conditionalFormatting>
  <conditionalFormatting sqref="F8">
    <cfRule type="expression" dxfId="3" priority="13">
      <formula>SEARCH("SOLVED",D8)</formula>
    </cfRule>
  </conditionalFormatting>
  <conditionalFormatting sqref="G8">
    <cfRule type="expression" dxfId="3" priority="14">
      <formula>SEARCH("SOLVED",D8)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3" width="7.38"/>
  </cols>
  <sheetData>
    <row r="1" ht="46.5" customHeight="1">
      <c r="A1" s="1"/>
      <c r="B1" s="2"/>
      <c r="C1" s="3"/>
      <c r="D1" s="4"/>
      <c r="E1" s="2"/>
      <c r="F1" s="3"/>
      <c r="G1" s="4"/>
      <c r="H1" s="2"/>
      <c r="I1" s="5"/>
      <c r="J1" s="8">
        <f t="array" ref="J1:J9">SEQUENCE(9,1)</f>
        <v>1</v>
      </c>
      <c r="K1" s="12">
        <f t="array" ref="K1:S1">TRANSPOSE(SORT(J1:J9, RANDARRAY(ROWS(J1:J9)),TRUE))</f>
        <v>4</v>
      </c>
      <c r="L1" s="12">
        <v>2.0</v>
      </c>
      <c r="M1" s="12">
        <v>7.0</v>
      </c>
      <c r="N1" s="14">
        <v>5.0</v>
      </c>
      <c r="O1" s="16">
        <v>9.0</v>
      </c>
      <c r="P1" s="14">
        <v>6.0</v>
      </c>
      <c r="Q1" s="18">
        <v>1.0</v>
      </c>
      <c r="R1" s="18">
        <v>3.0</v>
      </c>
      <c r="S1" s="16">
        <v>8.0</v>
      </c>
      <c r="T1" s="29" t="str">
        <f t="shared" ref="T1:T9" si="1">{"",K1:S1}</f>
        <v/>
      </c>
      <c r="U1" s="31">
        <v>4.0</v>
      </c>
      <c r="V1" s="31">
        <v>2.0</v>
      </c>
      <c r="W1" s="31">
        <v>7.0</v>
      </c>
      <c r="X1" s="31">
        <v>5.0</v>
      </c>
      <c r="Y1" s="31">
        <v>9.0</v>
      </c>
      <c r="Z1" s="31">
        <v>6.0</v>
      </c>
      <c r="AA1" s="31">
        <v>1.0</v>
      </c>
      <c r="AB1" s="31">
        <v>3.0</v>
      </c>
      <c r="AC1" s="31">
        <v>8.0</v>
      </c>
      <c r="AD1" s="29"/>
      <c r="AE1" s="32"/>
      <c r="AF1" s="32"/>
      <c r="AG1" s="32"/>
    </row>
    <row r="2" ht="46.5" customHeight="1">
      <c r="A2" s="33"/>
      <c r="B2" s="34"/>
      <c r="C2" s="35"/>
      <c r="D2" s="36"/>
      <c r="E2" s="34"/>
      <c r="F2" s="35"/>
      <c r="G2" s="36"/>
      <c r="H2" s="34"/>
      <c r="I2" s="37"/>
      <c r="J2" s="8">
        <v>2.0</v>
      </c>
      <c r="K2" s="12">
        <f t="array" ref="K2:S9">MAKEARRAY(8,9,LAMBDA(lol,los,INDEX(K1:S1,MOD(los-1-CHOOSE(lol,3,6,1,4,7,2,5,8),9)+1)))</f>
        <v>1</v>
      </c>
      <c r="L2" s="16">
        <v>3.0</v>
      </c>
      <c r="M2" s="16">
        <v>8.0</v>
      </c>
      <c r="N2" s="14">
        <v>4.0</v>
      </c>
      <c r="O2" s="16">
        <v>2.0</v>
      </c>
      <c r="P2" s="14">
        <v>7.0</v>
      </c>
      <c r="Q2" s="18">
        <v>5.0</v>
      </c>
      <c r="R2" s="16">
        <v>9.0</v>
      </c>
      <c r="S2" s="18">
        <v>6.0</v>
      </c>
      <c r="T2" s="29" t="str">
        <f t="shared" si="1"/>
        <v/>
      </c>
      <c r="U2" s="31">
        <v>1.0</v>
      </c>
      <c r="V2" s="31">
        <v>3.0</v>
      </c>
      <c r="W2" s="31">
        <v>8.0</v>
      </c>
      <c r="X2" s="31">
        <v>4.0</v>
      </c>
      <c r="Y2" s="31">
        <v>2.0</v>
      </c>
      <c r="Z2" s="31">
        <v>7.0</v>
      </c>
      <c r="AA2" s="31">
        <v>5.0</v>
      </c>
      <c r="AB2" s="31">
        <v>9.0</v>
      </c>
      <c r="AC2" s="31">
        <v>6.0</v>
      </c>
      <c r="AD2" s="29"/>
      <c r="AE2" s="32"/>
      <c r="AF2" s="32"/>
      <c r="AG2" s="32"/>
    </row>
    <row r="3" ht="46.5" customHeight="1">
      <c r="A3" s="43"/>
      <c r="B3" s="44"/>
      <c r="C3" s="45"/>
      <c r="D3" s="46"/>
      <c r="E3" s="44"/>
      <c r="F3" s="45"/>
      <c r="G3" s="46"/>
      <c r="H3" s="44"/>
      <c r="I3" s="47"/>
      <c r="J3" s="8">
        <v>3.0</v>
      </c>
      <c r="K3" s="12">
        <v>5.0</v>
      </c>
      <c r="L3" s="12">
        <v>9.0</v>
      </c>
      <c r="M3" s="12">
        <v>6.0</v>
      </c>
      <c r="N3" s="14">
        <v>1.0</v>
      </c>
      <c r="O3" s="16">
        <v>3.0</v>
      </c>
      <c r="P3" s="14">
        <v>8.0</v>
      </c>
      <c r="Q3" s="18">
        <v>4.0</v>
      </c>
      <c r="R3" s="16">
        <v>2.0</v>
      </c>
      <c r="S3" s="18">
        <v>7.0</v>
      </c>
      <c r="T3" s="29" t="str">
        <f t="shared" si="1"/>
        <v/>
      </c>
      <c r="U3" s="31">
        <v>5.0</v>
      </c>
      <c r="V3" s="31">
        <v>9.0</v>
      </c>
      <c r="W3" s="31">
        <v>6.0</v>
      </c>
      <c r="X3" s="31">
        <v>1.0</v>
      </c>
      <c r="Y3" s="31">
        <v>3.0</v>
      </c>
      <c r="Z3" s="31">
        <v>8.0</v>
      </c>
      <c r="AA3" s="31">
        <v>4.0</v>
      </c>
      <c r="AB3" s="31">
        <v>2.0</v>
      </c>
      <c r="AC3" s="31">
        <v>7.0</v>
      </c>
      <c r="AD3" s="29"/>
      <c r="AE3" s="32"/>
      <c r="AF3" s="32"/>
      <c r="AG3" s="32"/>
    </row>
    <row r="4" ht="46.5" customHeight="1">
      <c r="A4" s="48"/>
      <c r="B4" s="49"/>
      <c r="C4" s="50"/>
      <c r="D4" s="51"/>
      <c r="E4" s="49"/>
      <c r="F4" s="50"/>
      <c r="G4" s="51"/>
      <c r="H4" s="49"/>
      <c r="I4" s="53"/>
      <c r="J4" s="8">
        <v>4.0</v>
      </c>
      <c r="K4" s="16">
        <v>8.0</v>
      </c>
      <c r="L4" s="16">
        <v>4.0</v>
      </c>
      <c r="M4" s="12">
        <v>2.0</v>
      </c>
      <c r="N4" s="14">
        <v>7.0</v>
      </c>
      <c r="O4" s="14">
        <v>5.0</v>
      </c>
      <c r="P4" s="14">
        <v>9.0</v>
      </c>
      <c r="Q4" s="18">
        <v>6.0</v>
      </c>
      <c r="R4" s="16">
        <v>1.0</v>
      </c>
      <c r="S4" s="18">
        <v>3.0</v>
      </c>
      <c r="T4" s="29" t="str">
        <f t="shared" si="1"/>
        <v/>
      </c>
      <c r="U4" s="31">
        <v>8.0</v>
      </c>
      <c r="V4" s="31">
        <v>4.0</v>
      </c>
      <c r="W4" s="31">
        <v>2.0</v>
      </c>
      <c r="X4" s="31">
        <v>7.0</v>
      </c>
      <c r="Y4" s="31">
        <v>5.0</v>
      </c>
      <c r="Z4" s="31">
        <v>9.0</v>
      </c>
      <c r="AA4" s="31">
        <v>6.0</v>
      </c>
      <c r="AB4" s="31">
        <v>1.0</v>
      </c>
      <c r="AC4" s="31">
        <v>3.0</v>
      </c>
      <c r="AD4" s="29"/>
      <c r="AE4" s="32"/>
      <c r="AF4" s="32"/>
      <c r="AG4" s="32"/>
    </row>
    <row r="5" ht="46.5" customHeight="1">
      <c r="A5" s="33"/>
      <c r="B5" s="34"/>
      <c r="C5" s="35"/>
      <c r="D5" s="36"/>
      <c r="E5" s="34"/>
      <c r="F5" s="35"/>
      <c r="G5" s="36"/>
      <c r="H5" s="34"/>
      <c r="I5" s="37"/>
      <c r="J5" s="8">
        <v>5.0</v>
      </c>
      <c r="K5" s="12">
        <v>6.0</v>
      </c>
      <c r="L5" s="12">
        <v>1.0</v>
      </c>
      <c r="M5" s="12">
        <v>3.0</v>
      </c>
      <c r="N5" s="54">
        <v>8.0</v>
      </c>
      <c r="O5" s="16">
        <v>4.0</v>
      </c>
      <c r="P5" s="54">
        <v>2.0</v>
      </c>
      <c r="Q5" s="18">
        <v>7.0</v>
      </c>
      <c r="R5" s="18">
        <v>5.0</v>
      </c>
      <c r="S5" s="16">
        <v>9.0</v>
      </c>
      <c r="T5" s="29" t="str">
        <f t="shared" si="1"/>
        <v/>
      </c>
      <c r="U5" s="31">
        <v>6.0</v>
      </c>
      <c r="V5" s="31">
        <v>1.0</v>
      </c>
      <c r="W5" s="31">
        <v>3.0</v>
      </c>
      <c r="X5" s="31">
        <v>8.0</v>
      </c>
      <c r="Y5" s="31">
        <v>4.0</v>
      </c>
      <c r="Z5" s="31">
        <v>2.0</v>
      </c>
      <c r="AA5" s="31">
        <v>7.0</v>
      </c>
      <c r="AB5" s="31">
        <v>5.0</v>
      </c>
      <c r="AC5" s="31">
        <v>9.0</v>
      </c>
      <c r="AD5" s="29"/>
      <c r="AE5" s="32"/>
      <c r="AF5" s="32"/>
      <c r="AG5" s="32"/>
    </row>
    <row r="6" ht="46.5" customHeight="1">
      <c r="A6" s="55"/>
      <c r="B6" s="56"/>
      <c r="C6" s="57"/>
      <c r="D6" s="58"/>
      <c r="E6" s="56"/>
      <c r="F6" s="57"/>
      <c r="G6" s="58"/>
      <c r="H6" s="56"/>
      <c r="I6" s="59"/>
      <c r="J6" s="8">
        <v>6.0</v>
      </c>
      <c r="K6" s="60">
        <v>7.0</v>
      </c>
      <c r="L6" s="60">
        <v>5.0</v>
      </c>
      <c r="M6" s="60">
        <v>9.0</v>
      </c>
      <c r="N6" s="54">
        <v>6.0</v>
      </c>
      <c r="O6" s="16">
        <v>1.0</v>
      </c>
      <c r="P6" s="54">
        <v>3.0</v>
      </c>
      <c r="Q6" s="61">
        <v>8.0</v>
      </c>
      <c r="R6" s="16">
        <v>4.0</v>
      </c>
      <c r="S6" s="61">
        <v>2.0</v>
      </c>
      <c r="T6" s="29" t="str">
        <f t="shared" si="1"/>
        <v/>
      </c>
      <c r="U6" s="31">
        <v>7.0</v>
      </c>
      <c r="V6" s="31">
        <v>5.0</v>
      </c>
      <c r="W6" s="31">
        <v>9.0</v>
      </c>
      <c r="X6" s="31">
        <v>6.0</v>
      </c>
      <c r="Y6" s="31">
        <v>1.0</v>
      </c>
      <c r="Z6" s="31">
        <v>3.0</v>
      </c>
      <c r="AA6" s="31">
        <v>8.0</v>
      </c>
      <c r="AB6" s="31">
        <v>4.0</v>
      </c>
      <c r="AC6" s="31">
        <v>2.0</v>
      </c>
      <c r="AD6" s="29"/>
      <c r="AE6" s="32"/>
      <c r="AF6" s="32"/>
      <c r="AG6" s="32"/>
    </row>
    <row r="7" ht="46.5" customHeight="1">
      <c r="A7" s="48"/>
      <c r="B7" s="49"/>
      <c r="C7" s="50"/>
      <c r="D7" s="51"/>
      <c r="E7" s="49"/>
      <c r="F7" s="50"/>
      <c r="G7" s="51"/>
      <c r="H7" s="49"/>
      <c r="I7" s="53"/>
      <c r="J7" s="8">
        <v>7.0</v>
      </c>
      <c r="K7" s="60">
        <v>3.0</v>
      </c>
      <c r="L7" s="16">
        <v>8.0</v>
      </c>
      <c r="M7" s="60">
        <v>4.0</v>
      </c>
      <c r="N7" s="54">
        <v>2.0</v>
      </c>
      <c r="O7" s="54">
        <v>7.0</v>
      </c>
      <c r="P7" s="16">
        <v>5.0</v>
      </c>
      <c r="Q7" s="61">
        <v>9.0</v>
      </c>
      <c r="R7" s="16">
        <v>6.0</v>
      </c>
      <c r="S7" s="61">
        <v>1.0</v>
      </c>
      <c r="T7" s="29" t="str">
        <f t="shared" si="1"/>
        <v/>
      </c>
      <c r="U7" s="31">
        <v>3.0</v>
      </c>
      <c r="V7" s="31">
        <v>8.0</v>
      </c>
      <c r="W7" s="31">
        <v>4.0</v>
      </c>
      <c r="X7" s="31">
        <v>2.0</v>
      </c>
      <c r="Y7" s="31">
        <v>7.0</v>
      </c>
      <c r="Z7" s="31">
        <v>5.0</v>
      </c>
      <c r="AA7" s="31">
        <v>9.0</v>
      </c>
      <c r="AB7" s="31">
        <v>6.0</v>
      </c>
      <c r="AC7" s="31">
        <v>1.0</v>
      </c>
      <c r="AD7" s="29"/>
      <c r="AE7" s="32"/>
      <c r="AF7" s="32"/>
      <c r="AG7" s="32"/>
    </row>
    <row r="8" ht="46.5" customHeight="1">
      <c r="A8" s="33"/>
      <c r="B8" s="34"/>
      <c r="C8" s="35"/>
      <c r="D8" s="36"/>
      <c r="E8" s="34"/>
      <c r="F8" s="35"/>
      <c r="G8" s="36"/>
      <c r="H8" s="34"/>
      <c r="I8" s="37"/>
      <c r="J8" s="8">
        <v>8.0</v>
      </c>
      <c r="K8" s="60">
        <v>9.0</v>
      </c>
      <c r="L8" s="16">
        <v>6.0</v>
      </c>
      <c r="M8" s="60">
        <v>1.0</v>
      </c>
      <c r="N8" s="54">
        <v>3.0</v>
      </c>
      <c r="O8" s="16">
        <v>8.0</v>
      </c>
      <c r="P8" s="54">
        <v>4.0</v>
      </c>
      <c r="Q8" s="61">
        <v>2.0</v>
      </c>
      <c r="R8" s="16">
        <v>7.0</v>
      </c>
      <c r="S8" s="61">
        <v>5.0</v>
      </c>
      <c r="T8" s="29" t="str">
        <f t="shared" si="1"/>
        <v/>
      </c>
      <c r="U8" s="31">
        <v>9.0</v>
      </c>
      <c r="V8" s="31">
        <v>6.0</v>
      </c>
      <c r="W8" s="31">
        <v>1.0</v>
      </c>
      <c r="X8" s="31">
        <v>3.0</v>
      </c>
      <c r="Y8" s="31">
        <v>8.0</v>
      </c>
      <c r="Z8" s="31">
        <v>4.0</v>
      </c>
      <c r="AA8" s="31">
        <v>2.0</v>
      </c>
      <c r="AB8" s="31">
        <v>7.0</v>
      </c>
      <c r="AC8" s="31">
        <v>5.0</v>
      </c>
      <c r="AD8" s="29"/>
      <c r="AE8" s="32"/>
      <c r="AF8" s="32"/>
      <c r="AG8" s="32"/>
    </row>
    <row r="9" ht="46.5" customHeight="1">
      <c r="A9" s="55"/>
      <c r="B9" s="56"/>
      <c r="C9" s="57"/>
      <c r="D9" s="58"/>
      <c r="E9" s="56"/>
      <c r="F9" s="57"/>
      <c r="G9" s="58"/>
      <c r="H9" s="56"/>
      <c r="I9" s="59"/>
      <c r="J9" s="8">
        <v>9.0</v>
      </c>
      <c r="K9" s="60">
        <v>2.0</v>
      </c>
      <c r="L9" s="60">
        <v>7.0</v>
      </c>
      <c r="M9" s="60">
        <v>5.0</v>
      </c>
      <c r="N9" s="54">
        <v>9.0</v>
      </c>
      <c r="O9" s="16">
        <v>6.0</v>
      </c>
      <c r="P9" s="54">
        <v>1.0</v>
      </c>
      <c r="Q9" s="61">
        <v>3.0</v>
      </c>
      <c r="R9" s="61">
        <v>8.0</v>
      </c>
      <c r="S9" s="61">
        <v>4.0</v>
      </c>
      <c r="T9" s="29" t="str">
        <f t="shared" si="1"/>
        <v/>
      </c>
      <c r="U9" s="31">
        <v>2.0</v>
      </c>
      <c r="V9" s="31">
        <v>7.0</v>
      </c>
      <c r="W9" s="31">
        <v>5.0</v>
      </c>
      <c r="X9" s="31">
        <v>9.0</v>
      </c>
      <c r="Y9" s="31">
        <v>6.0</v>
      </c>
      <c r="Z9" s="31">
        <v>1.0</v>
      </c>
      <c r="AA9" s="31">
        <v>3.0</v>
      </c>
      <c r="AB9" s="31">
        <v>8.0</v>
      </c>
      <c r="AC9" s="31">
        <v>4.0</v>
      </c>
      <c r="AD9" s="29"/>
      <c r="AE9" s="32"/>
      <c r="AF9" s="32"/>
      <c r="AG9" s="32"/>
    </row>
    <row r="10" ht="46.5" customHeight="1">
      <c r="A10" s="32"/>
      <c r="B10" s="32"/>
      <c r="C10" s="32"/>
      <c r="D10" s="32"/>
      <c r="E10" s="32" t="str">
        <f t="array" ref="E10">IF(AND(A1:I9=K11:S19)=TRUE,"SOLVED!","UNSOLVED")</f>
        <v>SOLVED!</v>
      </c>
      <c r="F10" s="32"/>
      <c r="G10" s="32"/>
      <c r="H10" s="32"/>
      <c r="I10" s="32"/>
      <c r="J10" s="8"/>
      <c r="K10" s="29"/>
      <c r="L10" s="29"/>
      <c r="M10" s="29"/>
      <c r="N10" s="29"/>
      <c r="O10" s="62" t="s">
        <v>3</v>
      </c>
      <c r="P10" s="63"/>
      <c r="Q10" s="63"/>
      <c r="R10" s="63"/>
      <c r="S10" s="63"/>
      <c r="T10" s="63"/>
      <c r="U10" s="63"/>
      <c r="V10" s="63"/>
      <c r="W10" s="63"/>
      <c r="X10" s="63"/>
      <c r="Y10" s="64" t="s">
        <v>4</v>
      </c>
      <c r="Z10" s="29"/>
      <c r="AA10" s="29"/>
      <c r="AB10" s="29"/>
      <c r="AC10" s="29"/>
      <c r="AD10" s="29"/>
      <c r="AE10" s="32"/>
      <c r="AF10" s="32"/>
      <c r="AG10" s="32"/>
    </row>
    <row r="11" ht="46.5" customHeight="1">
      <c r="A11" s="65"/>
      <c r="B11" s="65"/>
      <c r="C11" s="65"/>
      <c r="D11" s="66"/>
      <c r="E11" s="66"/>
      <c r="F11" s="66"/>
      <c r="G11" s="67"/>
      <c r="H11" s="67"/>
      <c r="I11" s="67"/>
      <c r="J11" s="8"/>
      <c r="K11" s="68"/>
      <c r="L11" s="68"/>
      <c r="M11" s="68"/>
      <c r="N11" s="68"/>
      <c r="O11" s="68"/>
      <c r="P11" s="68"/>
      <c r="Q11" s="68"/>
      <c r="R11" s="68"/>
      <c r="S11" s="68"/>
      <c r="T11" s="29" t="str">
        <f t="array" ref="T11:AC11">{"","",L11,"",N11,"","","",R11,""}</f>
        <v/>
      </c>
      <c r="U11" s="31" t="s">
        <v>2</v>
      </c>
      <c r="V11" s="31"/>
      <c r="W11" s="31" t="s">
        <v>2</v>
      </c>
      <c r="X11" s="31"/>
      <c r="Y11" s="31" t="s">
        <v>2</v>
      </c>
      <c r="Z11" s="31" t="s">
        <v>2</v>
      </c>
      <c r="AA11" s="31" t="s">
        <v>2</v>
      </c>
      <c r="AB11" s="31"/>
      <c r="AC11" s="31" t="s">
        <v>2</v>
      </c>
      <c r="AD11" s="29"/>
      <c r="AE11" s="32"/>
      <c r="AF11" s="32"/>
      <c r="AG11" s="32"/>
    </row>
    <row r="12" ht="46.5" customHeight="1">
      <c r="A12" s="65"/>
      <c r="B12" s="78" t="s">
        <v>8</v>
      </c>
      <c r="C12" s="65"/>
      <c r="D12" s="66"/>
      <c r="E12" s="79" t="s">
        <v>8</v>
      </c>
      <c r="F12" s="66"/>
      <c r="G12" s="67"/>
      <c r="H12" s="80" t="s">
        <v>8</v>
      </c>
      <c r="I12" s="67"/>
      <c r="J12" s="8"/>
      <c r="K12" s="68"/>
      <c r="L12" s="68"/>
      <c r="M12" s="81"/>
      <c r="N12" s="68"/>
      <c r="O12" s="68"/>
      <c r="P12" s="68"/>
      <c r="Q12" s="68"/>
      <c r="R12" s="68"/>
      <c r="S12" s="68"/>
      <c r="T12" s="29" t="str">
        <f t="array" ref="T12:AC12">{"",K12,"",M12,"",O12,"",Q12,"",""}</f>
        <v/>
      </c>
      <c r="U12" s="31"/>
      <c r="V12" s="31" t="s">
        <v>2</v>
      </c>
      <c r="W12" s="31"/>
      <c r="X12" s="31" t="s">
        <v>2</v>
      </c>
      <c r="Y12" s="31"/>
      <c r="Z12" s="31" t="s">
        <v>2</v>
      </c>
      <c r="AA12" s="31"/>
      <c r="AB12" s="31" t="s">
        <v>2</v>
      </c>
      <c r="AC12" s="31" t="s">
        <v>2</v>
      </c>
      <c r="AD12" s="29"/>
      <c r="AE12" s="32"/>
      <c r="AF12" s="32"/>
      <c r="AG12" s="32"/>
    </row>
    <row r="13" ht="46.5" customHeight="1">
      <c r="A13" s="65"/>
      <c r="B13" s="65"/>
      <c r="C13" s="65"/>
      <c r="D13" s="66"/>
      <c r="E13" s="66"/>
      <c r="F13" s="66"/>
      <c r="G13" s="67"/>
      <c r="H13" s="67"/>
      <c r="I13" s="67"/>
      <c r="J13" s="8"/>
      <c r="K13" s="68"/>
      <c r="L13" s="68"/>
      <c r="M13" s="68"/>
      <c r="N13" s="68"/>
      <c r="O13" s="68"/>
      <c r="P13" s="68"/>
      <c r="Q13" s="68"/>
      <c r="R13" s="68"/>
      <c r="S13" s="68"/>
      <c r="T13" s="29" t="str">
        <f t="array" ref="T13:AC13">{"","",L13,"",N13,"",P13,"",R13,S13}</f>
        <v/>
      </c>
      <c r="U13" s="31" t="s">
        <v>2</v>
      </c>
      <c r="V13" s="31"/>
      <c r="W13" s="31" t="s">
        <v>2</v>
      </c>
      <c r="X13" s="31"/>
      <c r="Y13" s="31" t="s">
        <v>2</v>
      </c>
      <c r="Z13" s="31"/>
      <c r="AA13" s="31" t="s">
        <v>2</v>
      </c>
      <c r="AB13" s="31"/>
      <c r="AC13" s="31"/>
      <c r="AD13" s="29"/>
      <c r="AE13" s="32"/>
      <c r="AF13" s="32"/>
      <c r="AG13" s="32"/>
    </row>
    <row r="14" ht="46.5" customHeight="1">
      <c r="A14" s="65"/>
      <c r="B14" s="78" t="s">
        <v>8</v>
      </c>
      <c r="C14" s="78" t="s">
        <v>8</v>
      </c>
      <c r="D14" s="66"/>
      <c r="E14" s="79" t="s">
        <v>8</v>
      </c>
      <c r="F14" s="66"/>
      <c r="G14" s="67"/>
      <c r="H14" s="80" t="s">
        <v>8</v>
      </c>
      <c r="I14" s="80" t="s">
        <v>8</v>
      </c>
      <c r="J14" s="8"/>
      <c r="K14" s="68"/>
      <c r="L14" s="68"/>
      <c r="M14" s="68"/>
      <c r="N14" s="68"/>
      <c r="O14" s="68"/>
      <c r="P14" s="68"/>
      <c r="Q14" s="68"/>
      <c r="R14" s="68"/>
      <c r="S14" s="68"/>
      <c r="T14" s="29" t="str">
        <f t="array" ref="T14:AC14">{"",K14,"","","",O14,"",Q14,"",S14}</f>
        <v/>
      </c>
      <c r="U14" s="31"/>
      <c r="V14" s="31" t="s">
        <v>2</v>
      </c>
      <c r="W14" s="31" t="s">
        <v>2</v>
      </c>
      <c r="X14" s="31" t="s">
        <v>2</v>
      </c>
      <c r="Y14" s="31"/>
      <c r="Z14" s="31" t="s">
        <v>2</v>
      </c>
      <c r="AA14" s="31"/>
      <c r="AB14" s="31" t="s">
        <v>2</v>
      </c>
      <c r="AC14" s="31"/>
      <c r="AD14" s="29"/>
      <c r="AE14" s="32"/>
      <c r="AF14" s="32"/>
      <c r="AG14" s="32"/>
    </row>
    <row r="15" ht="46.5" customHeight="1">
      <c r="A15" s="97" t="s">
        <v>8</v>
      </c>
      <c r="B15" s="98"/>
      <c r="C15" s="98"/>
      <c r="D15" s="98"/>
      <c r="E15" s="97" t="s">
        <v>8</v>
      </c>
      <c r="F15" s="99"/>
      <c r="G15" s="99"/>
      <c r="H15" s="99"/>
      <c r="I15" s="97" t="s">
        <v>8</v>
      </c>
      <c r="J15" s="8"/>
      <c r="K15" s="68"/>
      <c r="L15" s="68"/>
      <c r="M15" s="68"/>
      <c r="N15" s="68"/>
      <c r="O15" s="68"/>
      <c r="P15" s="68"/>
      <c r="Q15" s="68"/>
      <c r="R15" s="68"/>
      <c r="S15" s="68"/>
      <c r="T15" s="29" t="str">
        <f t="array" ref="T15:AC15">{"","",L15,M15,N15,"",P15,Q15,R15,""}</f>
        <v/>
      </c>
      <c r="U15" s="31" t="s">
        <v>2</v>
      </c>
      <c r="V15" s="31"/>
      <c r="W15" s="31"/>
      <c r="X15" s="31"/>
      <c r="Y15" s="31" t="s">
        <v>2</v>
      </c>
      <c r="Z15" s="31"/>
      <c r="AA15" s="31"/>
      <c r="AB15" s="31"/>
      <c r="AC15" s="31" t="s">
        <v>2</v>
      </c>
      <c r="AD15" s="29"/>
      <c r="AE15" s="32"/>
      <c r="AF15" s="32"/>
      <c r="AG15" s="32"/>
    </row>
    <row r="16" ht="46.5" customHeight="1">
      <c r="A16" s="97" t="s">
        <v>8</v>
      </c>
      <c r="B16" s="98"/>
      <c r="C16" s="100" t="s">
        <v>8</v>
      </c>
      <c r="D16" s="100" t="s">
        <v>8</v>
      </c>
      <c r="E16" s="97" t="s">
        <v>8</v>
      </c>
      <c r="F16" s="99"/>
      <c r="G16" s="100" t="s">
        <v>8</v>
      </c>
      <c r="H16" s="99"/>
      <c r="I16" s="97" t="s">
        <v>8</v>
      </c>
      <c r="J16" s="8"/>
      <c r="K16" s="68"/>
      <c r="L16" s="68"/>
      <c r="M16" s="68"/>
      <c r="N16" s="68"/>
      <c r="O16" s="68"/>
      <c r="P16" s="68"/>
      <c r="Q16" s="68"/>
      <c r="R16" s="68"/>
      <c r="S16" s="68"/>
      <c r="T16" s="29" t="str">
        <f t="array" ref="T16:AC16">{"",K16,"",M16,"",O16,"","","",S16}</f>
        <v/>
      </c>
      <c r="U16" s="31"/>
      <c r="V16" s="31" t="s">
        <v>2</v>
      </c>
      <c r="W16" s="31"/>
      <c r="X16" s="31" t="s">
        <v>2</v>
      </c>
      <c r="Y16" s="31"/>
      <c r="Z16" s="31" t="s">
        <v>2</v>
      </c>
      <c r="AA16" s="31" t="s">
        <v>2</v>
      </c>
      <c r="AB16" s="31" t="s">
        <v>2</v>
      </c>
      <c r="AC16" s="31"/>
      <c r="AD16" s="29"/>
      <c r="AE16" s="32"/>
      <c r="AF16" s="32"/>
      <c r="AG16" s="32"/>
    </row>
    <row r="17" ht="46.5" customHeight="1">
      <c r="A17" s="97" t="s">
        <v>8</v>
      </c>
      <c r="B17" s="98"/>
      <c r="C17" s="98"/>
      <c r="D17" s="100" t="s">
        <v>8</v>
      </c>
      <c r="E17" s="97" t="s">
        <v>8</v>
      </c>
      <c r="F17" s="99"/>
      <c r="G17" s="99"/>
      <c r="H17" s="100" t="s">
        <v>8</v>
      </c>
      <c r="I17" s="97" t="s">
        <v>8</v>
      </c>
      <c r="J17" s="8"/>
      <c r="K17" s="68"/>
      <c r="L17" s="68"/>
      <c r="M17" s="68"/>
      <c r="N17" s="68"/>
      <c r="O17" s="68"/>
      <c r="P17" s="68"/>
      <c r="Q17" s="68"/>
      <c r="R17" s="68"/>
      <c r="S17" s="68"/>
      <c r="T17" s="29" t="str">
        <f t="array" ref="T17:AC17">{"",K17,L17,"",N17,"",P17,"",R17,""}</f>
        <v/>
      </c>
      <c r="U17" s="31"/>
      <c r="V17" s="31"/>
      <c r="W17" s="31" t="s">
        <v>2</v>
      </c>
      <c r="X17" s="31"/>
      <c r="Y17" s="31" t="s">
        <v>2</v>
      </c>
      <c r="Z17" s="31"/>
      <c r="AA17" s="31" t="s">
        <v>2</v>
      </c>
      <c r="AB17" s="31"/>
      <c r="AC17" s="31" t="s">
        <v>2</v>
      </c>
      <c r="AD17" s="29"/>
      <c r="AE17" s="32"/>
      <c r="AF17" s="32"/>
      <c r="AG17" s="32"/>
    </row>
    <row r="18" ht="46.5" customHeight="1">
      <c r="A18" s="97" t="s">
        <v>8</v>
      </c>
      <c r="B18" s="98"/>
      <c r="C18" s="100" t="s">
        <v>8</v>
      </c>
      <c r="D18" s="100" t="s">
        <v>8</v>
      </c>
      <c r="E18" s="97" t="s">
        <v>8</v>
      </c>
      <c r="F18" s="99"/>
      <c r="G18" s="100" t="s">
        <v>8</v>
      </c>
      <c r="H18" s="99"/>
      <c r="I18" s="97" t="s">
        <v>8</v>
      </c>
      <c r="J18" s="8"/>
      <c r="K18" s="68"/>
      <c r="L18" s="68"/>
      <c r="M18" s="68"/>
      <c r="N18" s="68"/>
      <c r="O18" s="68"/>
      <c r="P18" s="68"/>
      <c r="Q18" s="68"/>
      <c r="R18" s="68"/>
      <c r="S18" s="68"/>
      <c r="T18" s="29" t="str">
        <f t="array" ref="T18:AC18">{"","","",M18,"",O18,"",Q18,"",S18}</f>
        <v/>
      </c>
      <c r="U18" s="31" t="s">
        <v>2</v>
      </c>
      <c r="V18" s="31" t="s">
        <v>2</v>
      </c>
      <c r="W18" s="31"/>
      <c r="X18" s="31" t="s">
        <v>2</v>
      </c>
      <c r="Y18" s="31"/>
      <c r="Z18" s="31" t="s">
        <v>2</v>
      </c>
      <c r="AA18" s="31"/>
      <c r="AB18" s="31" t="s">
        <v>2</v>
      </c>
      <c r="AC18" s="31"/>
      <c r="AD18" s="29"/>
      <c r="AE18" s="32"/>
      <c r="AF18" s="32"/>
      <c r="AG18" s="32"/>
    </row>
    <row r="19" ht="46.5" customHeight="1">
      <c r="A19" s="97" t="s">
        <v>8</v>
      </c>
      <c r="B19" s="98"/>
      <c r="C19" s="98"/>
      <c r="D19" s="98"/>
      <c r="E19" s="97" t="s">
        <v>8</v>
      </c>
      <c r="F19" s="99"/>
      <c r="G19" s="100" t="s">
        <v>8</v>
      </c>
      <c r="H19" s="99"/>
      <c r="I19" s="97" t="s">
        <v>8</v>
      </c>
      <c r="J19" s="8"/>
      <c r="K19" s="68"/>
      <c r="L19" s="68"/>
      <c r="M19" s="68"/>
      <c r="N19" s="68"/>
      <c r="O19" s="68"/>
      <c r="P19" s="68"/>
      <c r="Q19" s="68"/>
      <c r="R19" s="68"/>
      <c r="S19" s="68"/>
      <c r="T19" s="29" t="str">
        <f t="array" ref="T19:AC19">{"","",L19,"","",O19,"",Q19,"",S19}</f>
        <v/>
      </c>
      <c r="U19" s="31" t="s">
        <v>2</v>
      </c>
      <c r="V19" s="31"/>
      <c r="W19" s="31" t="s">
        <v>2</v>
      </c>
      <c r="X19" s="31" t="s">
        <v>2</v>
      </c>
      <c r="Y19" s="31"/>
      <c r="Z19" s="31" t="s">
        <v>2</v>
      </c>
      <c r="AA19" s="31"/>
      <c r="AB19" s="31" t="s">
        <v>2</v>
      </c>
      <c r="AC19" s="31"/>
      <c r="AD19" s="29"/>
      <c r="AE19" s="32"/>
      <c r="AF19" s="32"/>
      <c r="AG19" s="32"/>
    </row>
    <row r="20" ht="46.5" customHeight="1">
      <c r="A20" s="29"/>
      <c r="B20" s="29"/>
      <c r="C20" s="29"/>
      <c r="D20" s="29"/>
      <c r="E20" s="29"/>
      <c r="F20" s="29"/>
      <c r="G20" s="29"/>
      <c r="H20" s="29"/>
      <c r="I20" s="29"/>
      <c r="J20" s="8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32"/>
      <c r="AF20" s="32"/>
      <c r="AG20" s="32"/>
    </row>
    <row r="21" ht="46.5" customHeight="1">
      <c r="A21" s="32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</row>
    <row r="22" ht="46.5" customHeight="1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</row>
    <row r="23" ht="46.5" customHeight="1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</row>
    <row r="24" ht="46.5" customHeight="1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</row>
    <row r="25" ht="46.5" customHeight="1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</row>
    <row r="26" ht="46.5" customHeight="1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</row>
    <row r="27" ht="46.5" customHeight="1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</row>
    <row r="28" ht="46.5" customHeight="1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</row>
    <row r="29" ht="46.5" customHeight="1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</row>
    <row r="30" ht="46.5" customHeight="1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</row>
    <row r="31" ht="46.5" customHeight="1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</row>
    <row r="32" ht="46.5" customHeight="1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</row>
    <row r="33" ht="46.5" customHeight="1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</row>
    <row r="34" ht="46.5" customHeight="1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</row>
    <row r="35" ht="46.5" customHeight="1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</row>
    <row r="36" ht="46.5" customHeight="1">
      <c r="A36" s="32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</row>
    <row r="37" ht="46.5" customHeight="1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</row>
    <row r="38" ht="46.5" customHeight="1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</row>
    <row r="39" ht="46.5" customHeight="1">
      <c r="A39" s="32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</row>
    <row r="40" ht="46.5" customHeight="1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</row>
    <row r="41" ht="46.5" customHeight="1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</row>
    <row r="42" ht="46.5" customHeight="1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</row>
    <row r="43" ht="46.5" customHeight="1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</row>
    <row r="44" ht="46.5" customHeight="1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</row>
    <row r="45" ht="46.5" customHeight="1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</row>
    <row r="46" ht="46.5" customHeight="1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</row>
    <row r="47" ht="46.5" customHeight="1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</row>
    <row r="48" ht="46.5" customHeight="1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</row>
    <row r="49" ht="46.5" customHeight="1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</row>
    <row r="50" ht="46.5" customHeight="1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</row>
    <row r="51" ht="46.5" customHeight="1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</row>
    <row r="52" ht="46.5" customHeight="1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</row>
    <row r="53" ht="46.5" customHeight="1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</row>
    <row r="54" ht="46.5" customHeight="1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</row>
    <row r="55" ht="46.5" customHeight="1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</row>
    <row r="56" ht="46.5" customHeight="1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</row>
    <row r="57" ht="46.5" customHeight="1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</row>
    <row r="58" ht="46.5" customHeight="1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</row>
    <row r="59" ht="46.5" customHeight="1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</row>
    <row r="60" ht="46.5" customHeight="1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</row>
    <row r="61" ht="46.5" customHeight="1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</row>
    <row r="62" ht="46.5" customHeight="1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</row>
    <row r="63" ht="46.5" customHeight="1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</row>
    <row r="64" ht="46.5" customHeight="1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</row>
    <row r="65" ht="46.5" customHeight="1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</row>
    <row r="66" ht="46.5" customHeight="1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</row>
    <row r="67" ht="46.5" customHeight="1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</row>
    <row r="68" ht="46.5" customHeight="1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</row>
    <row r="69" ht="46.5" customHeight="1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</row>
    <row r="70" ht="46.5" customHeight="1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</row>
    <row r="71" ht="46.5" customHeight="1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</row>
    <row r="72" ht="46.5" customHeight="1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</row>
    <row r="73" ht="46.5" customHeight="1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</row>
    <row r="74" ht="46.5" customHeight="1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</row>
    <row r="75" ht="46.5" customHeight="1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</row>
    <row r="76" ht="46.5" customHeight="1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</row>
    <row r="77" ht="46.5" customHeight="1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</row>
    <row r="78" ht="46.5" customHeight="1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</row>
    <row r="79" ht="46.5" customHeight="1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</row>
    <row r="80" ht="46.5" customHeight="1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</row>
    <row r="81" ht="46.5" customHeight="1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</row>
    <row r="82" ht="46.5" customHeight="1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</row>
    <row r="83" ht="46.5" customHeight="1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</row>
    <row r="84" ht="46.5" customHeight="1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</row>
    <row r="85" ht="46.5" customHeight="1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</row>
    <row r="86" ht="46.5" customHeight="1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</row>
    <row r="87" ht="46.5" customHeight="1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</row>
    <row r="88" ht="46.5" customHeight="1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</row>
    <row r="89" ht="46.5" customHeight="1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</row>
    <row r="90" ht="46.5" customHeight="1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</row>
    <row r="91" ht="46.5" customHeight="1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</row>
    <row r="92" ht="46.5" customHeight="1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</row>
    <row r="93" ht="46.5" customHeight="1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</row>
    <row r="94" ht="46.5" customHeight="1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</row>
    <row r="95" ht="46.5" customHeight="1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</row>
    <row r="96" ht="46.5" customHeight="1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2"/>
      <c r="AG96" s="32"/>
    </row>
    <row r="97" ht="46.5" customHeight="1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</row>
    <row r="98" ht="46.5" customHeight="1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</row>
    <row r="99" ht="46.5" customHeight="1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  <c r="AF99" s="32"/>
      <c r="AG99" s="32"/>
    </row>
    <row r="100" ht="46.5" customHeight="1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</row>
    <row r="101" ht="46.5" customHeight="1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</row>
    <row r="102" ht="46.5" customHeight="1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</row>
    <row r="103" ht="46.5" customHeight="1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</row>
    <row r="104" ht="46.5" customHeight="1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</row>
    <row r="105" ht="46.5" customHeight="1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</row>
    <row r="106" ht="46.5" customHeight="1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</row>
    <row r="107" ht="46.5" customHeight="1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</row>
    <row r="108" ht="46.5" customHeight="1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</row>
    <row r="109" ht="46.5" customHeight="1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  <c r="AG109" s="32"/>
    </row>
    <row r="110" ht="46.5" customHeight="1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</row>
    <row r="111" ht="46.5" customHeight="1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</row>
    <row r="112" ht="46.5" customHeight="1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</row>
    <row r="113" ht="46.5" customHeight="1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  <c r="AG113" s="32"/>
    </row>
    <row r="114" ht="46.5" customHeight="1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</row>
    <row r="115" ht="46.5" customHeight="1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</row>
    <row r="116" ht="46.5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</row>
    <row r="117" ht="46.5" customHeight="1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</row>
    <row r="118" ht="46.5" customHeight="1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</row>
    <row r="119" ht="46.5" customHeight="1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</row>
    <row r="120" ht="46.5" customHeight="1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</row>
    <row r="121" ht="46.5" customHeight="1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</row>
    <row r="122" ht="46.5" customHeight="1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</row>
    <row r="123" ht="46.5" customHeight="1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</row>
    <row r="124" ht="46.5" customHeight="1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</row>
    <row r="125" ht="46.5" customHeight="1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</row>
    <row r="126" ht="46.5" customHeight="1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</row>
    <row r="127" ht="46.5" customHeight="1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</row>
    <row r="128" ht="46.5" customHeight="1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</row>
    <row r="129" ht="46.5" customHeight="1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</row>
    <row r="130" ht="46.5" customHeight="1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</row>
    <row r="131" ht="46.5" customHeight="1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</row>
    <row r="132" ht="46.5" customHeight="1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</row>
    <row r="133" ht="46.5" customHeight="1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</row>
    <row r="134" ht="46.5" customHeight="1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  <c r="AE134" s="32"/>
      <c r="AF134" s="32"/>
      <c r="AG134" s="32"/>
    </row>
    <row r="135" ht="46.5" customHeight="1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  <c r="AD135" s="32"/>
      <c r="AE135" s="32"/>
      <c r="AF135" s="32"/>
      <c r="AG135" s="32"/>
    </row>
    <row r="136" ht="46.5" customHeight="1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  <c r="AC136" s="32"/>
      <c r="AD136" s="32"/>
      <c r="AE136" s="32"/>
      <c r="AF136" s="32"/>
      <c r="AG136" s="32"/>
    </row>
    <row r="137" ht="46.5" customHeight="1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  <c r="AC137" s="32"/>
      <c r="AD137" s="32"/>
      <c r="AE137" s="32"/>
      <c r="AF137" s="32"/>
      <c r="AG137" s="32"/>
    </row>
    <row r="138" ht="46.5" customHeight="1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  <c r="AE138" s="32"/>
      <c r="AF138" s="32"/>
      <c r="AG138" s="32"/>
    </row>
    <row r="139" ht="46.5" customHeight="1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  <c r="AE139" s="32"/>
      <c r="AF139" s="32"/>
      <c r="AG139" s="32"/>
    </row>
    <row r="140" ht="46.5" customHeight="1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  <c r="AB140" s="32"/>
      <c r="AC140" s="32"/>
      <c r="AD140" s="32"/>
      <c r="AE140" s="32"/>
      <c r="AF140" s="32"/>
      <c r="AG140" s="32"/>
    </row>
    <row r="141" ht="46.5" customHeight="1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  <c r="AC141" s="32"/>
      <c r="AD141" s="32"/>
      <c r="AE141" s="32"/>
      <c r="AF141" s="32"/>
      <c r="AG141" s="32"/>
    </row>
    <row r="142" ht="46.5" customHeight="1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  <c r="AB142" s="32"/>
      <c r="AC142" s="32"/>
      <c r="AD142" s="32"/>
      <c r="AE142" s="32"/>
      <c r="AF142" s="32"/>
      <c r="AG142" s="32"/>
    </row>
    <row r="143" ht="46.5" customHeight="1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  <c r="AC143" s="32"/>
      <c r="AD143" s="32"/>
      <c r="AE143" s="32"/>
      <c r="AF143" s="32"/>
      <c r="AG143" s="32"/>
    </row>
    <row r="144" ht="46.5" customHeight="1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  <c r="AC144" s="32"/>
      <c r="AD144" s="32"/>
      <c r="AE144" s="32"/>
      <c r="AF144" s="32"/>
      <c r="AG144" s="32"/>
    </row>
    <row r="145" ht="46.5" customHeight="1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  <c r="AC145" s="32"/>
      <c r="AD145" s="32"/>
      <c r="AE145" s="32"/>
      <c r="AF145" s="32"/>
      <c r="AG145" s="32"/>
    </row>
    <row r="146" ht="46.5" customHeight="1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  <c r="AE146" s="32"/>
      <c r="AF146" s="32"/>
      <c r="AG146" s="32"/>
    </row>
    <row r="147" ht="46.5" customHeight="1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</row>
    <row r="148" ht="46.5" customHeight="1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</row>
    <row r="149" ht="46.5" customHeight="1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</row>
    <row r="150" ht="46.5" customHeight="1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</row>
    <row r="151" ht="46.5" customHeight="1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</row>
    <row r="152" ht="46.5" customHeight="1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</row>
    <row r="153" ht="46.5" customHeight="1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</row>
    <row r="154" ht="46.5" customHeight="1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</row>
    <row r="155" ht="46.5" customHeight="1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</row>
    <row r="156" ht="46.5" customHeight="1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</row>
    <row r="157" ht="46.5" customHeight="1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</row>
    <row r="158" ht="46.5" customHeight="1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</row>
    <row r="159" ht="46.5" customHeight="1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</row>
    <row r="160" ht="46.5" customHeight="1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  <c r="AE160" s="32"/>
      <c r="AF160" s="32"/>
      <c r="AG160" s="32"/>
    </row>
    <row r="161" ht="46.5" customHeight="1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</row>
    <row r="162" ht="46.5" customHeight="1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  <c r="AE162" s="32"/>
      <c r="AF162" s="32"/>
      <c r="AG162" s="32"/>
    </row>
    <row r="163" ht="46.5" customHeight="1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</row>
    <row r="164" ht="46.5" customHeight="1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</row>
    <row r="165" ht="46.5" customHeight="1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</row>
    <row r="166" ht="46.5" customHeight="1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</row>
    <row r="167" ht="46.5" customHeight="1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</row>
    <row r="168" ht="46.5" customHeight="1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</row>
    <row r="169" ht="46.5" customHeight="1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</row>
    <row r="170" ht="46.5" customHeight="1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</row>
    <row r="171" ht="46.5" customHeight="1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</row>
    <row r="172" ht="46.5" customHeight="1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</row>
    <row r="173" ht="46.5" customHeight="1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</row>
    <row r="174" ht="46.5" customHeight="1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</row>
    <row r="175" ht="46.5" customHeight="1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</row>
    <row r="176" ht="46.5" customHeight="1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</row>
    <row r="177" ht="46.5" customHeight="1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</row>
    <row r="178" ht="46.5" customHeight="1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</row>
    <row r="179" ht="46.5" customHeight="1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</row>
    <row r="180" ht="46.5" customHeight="1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</row>
    <row r="181" ht="46.5" customHeight="1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</row>
    <row r="182" ht="46.5" customHeight="1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</row>
    <row r="183" ht="46.5" customHeight="1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</row>
    <row r="184" ht="46.5" customHeight="1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</row>
    <row r="185" ht="46.5" customHeight="1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</row>
    <row r="186" ht="46.5" customHeight="1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</row>
    <row r="187" ht="46.5" customHeight="1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</row>
    <row r="188" ht="46.5" customHeight="1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</row>
    <row r="189" ht="46.5" customHeight="1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</row>
    <row r="190" ht="46.5" customHeight="1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</row>
    <row r="191" ht="46.5" customHeight="1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</row>
    <row r="192" ht="46.5" customHeight="1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</row>
    <row r="193" ht="46.5" customHeight="1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</row>
    <row r="194" ht="46.5" customHeight="1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</row>
    <row r="195" ht="46.5" customHeight="1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</row>
    <row r="196" ht="46.5" customHeight="1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</row>
    <row r="197" ht="46.5" customHeight="1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</row>
    <row r="198" ht="46.5" customHeight="1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</row>
    <row r="199" ht="46.5" customHeight="1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</row>
    <row r="200" ht="46.5" customHeight="1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</row>
    <row r="201" ht="46.5" customHeight="1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</row>
    <row r="202" ht="46.5" customHeight="1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</row>
    <row r="203" ht="46.5" customHeight="1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</row>
    <row r="204" ht="46.5" customHeight="1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</row>
    <row r="205" ht="46.5" customHeight="1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</row>
    <row r="206" ht="46.5" customHeight="1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</row>
    <row r="207" ht="46.5" customHeight="1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</row>
    <row r="208" ht="46.5" customHeight="1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</row>
    <row r="209" ht="46.5" customHeight="1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</row>
    <row r="210" ht="46.5" customHeight="1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</row>
    <row r="211" ht="46.5" customHeight="1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</row>
    <row r="212" ht="46.5" customHeight="1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</row>
    <row r="213" ht="46.5" customHeight="1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</row>
    <row r="214" ht="46.5" customHeight="1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</row>
    <row r="215" ht="46.5" customHeight="1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</row>
    <row r="216" ht="46.5" customHeight="1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</row>
    <row r="217" ht="46.5" customHeight="1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</row>
    <row r="218" ht="46.5" customHeight="1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</row>
    <row r="219" ht="46.5" customHeight="1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</row>
    <row r="220" ht="46.5" customHeight="1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</row>
    <row r="221" ht="46.5" customHeight="1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32"/>
    </row>
    <row r="222" ht="46.5" customHeight="1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</row>
    <row r="223" ht="46.5" customHeight="1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  <c r="AG223" s="32"/>
    </row>
    <row r="224" ht="46.5" customHeight="1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  <c r="AG224" s="32"/>
    </row>
    <row r="225" ht="46.5" customHeight="1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32"/>
    </row>
    <row r="226" ht="46.5" customHeight="1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2"/>
      <c r="AG226" s="32"/>
    </row>
    <row r="227" ht="46.5" customHeight="1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  <c r="AC227" s="32"/>
      <c r="AD227" s="32"/>
      <c r="AE227" s="32"/>
      <c r="AF227" s="32"/>
      <c r="AG227" s="32"/>
    </row>
    <row r="228" ht="46.5" customHeight="1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  <c r="AC228" s="32"/>
      <c r="AD228" s="32"/>
      <c r="AE228" s="32"/>
      <c r="AF228" s="32"/>
      <c r="AG228" s="32"/>
    </row>
    <row r="229" ht="46.5" customHeight="1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  <c r="AB229" s="32"/>
      <c r="AC229" s="32"/>
      <c r="AD229" s="32"/>
      <c r="AE229" s="32"/>
      <c r="AF229" s="32"/>
      <c r="AG229" s="32"/>
    </row>
    <row r="230" ht="46.5" customHeight="1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  <c r="AB230" s="32"/>
      <c r="AC230" s="32"/>
      <c r="AD230" s="32"/>
      <c r="AE230" s="32"/>
      <c r="AF230" s="32"/>
      <c r="AG230" s="32"/>
    </row>
    <row r="231" ht="46.5" customHeight="1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  <c r="AA231" s="32"/>
      <c r="AB231" s="32"/>
      <c r="AC231" s="32"/>
      <c r="AD231" s="32"/>
      <c r="AE231" s="32"/>
      <c r="AF231" s="32"/>
      <c r="AG231" s="32"/>
    </row>
    <row r="232" ht="46.5" customHeight="1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  <c r="AA232" s="32"/>
      <c r="AB232" s="32"/>
      <c r="AC232" s="32"/>
      <c r="AD232" s="32"/>
      <c r="AE232" s="32"/>
      <c r="AF232" s="32"/>
      <c r="AG232" s="32"/>
    </row>
    <row r="233" ht="46.5" customHeight="1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  <c r="AA233" s="32"/>
      <c r="AB233" s="32"/>
      <c r="AC233" s="32"/>
      <c r="AD233" s="32"/>
      <c r="AE233" s="32"/>
      <c r="AF233" s="32"/>
      <c r="AG233" s="32"/>
    </row>
    <row r="234" ht="46.5" customHeight="1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  <c r="AA234" s="32"/>
      <c r="AB234" s="32"/>
      <c r="AC234" s="32"/>
      <c r="AD234" s="32"/>
      <c r="AE234" s="32"/>
      <c r="AF234" s="32"/>
      <c r="AG234" s="32"/>
    </row>
    <row r="235" ht="46.5" customHeight="1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  <c r="AA235" s="32"/>
      <c r="AB235" s="32"/>
      <c r="AC235" s="32"/>
      <c r="AD235" s="32"/>
      <c r="AE235" s="32"/>
      <c r="AF235" s="32"/>
      <c r="AG235" s="32"/>
    </row>
    <row r="236" ht="46.5" customHeight="1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  <c r="AA236" s="32"/>
      <c r="AB236" s="32"/>
      <c r="AC236" s="32"/>
      <c r="AD236" s="32"/>
      <c r="AE236" s="32"/>
      <c r="AF236" s="32"/>
      <c r="AG236" s="32"/>
    </row>
    <row r="237" ht="46.5" customHeight="1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2"/>
      <c r="AB237" s="32"/>
      <c r="AC237" s="32"/>
      <c r="AD237" s="32"/>
      <c r="AE237" s="32"/>
      <c r="AF237" s="32"/>
      <c r="AG237" s="32"/>
    </row>
    <row r="238" ht="46.5" customHeight="1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  <c r="AB238" s="32"/>
      <c r="AC238" s="32"/>
      <c r="AD238" s="32"/>
      <c r="AE238" s="32"/>
      <c r="AF238" s="32"/>
      <c r="AG238" s="32"/>
    </row>
    <row r="239" ht="46.5" customHeight="1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  <c r="AA239" s="32"/>
      <c r="AB239" s="32"/>
      <c r="AC239" s="32"/>
      <c r="AD239" s="32"/>
      <c r="AE239" s="32"/>
      <c r="AF239" s="32"/>
      <c r="AG239" s="32"/>
    </row>
    <row r="240" ht="46.5" customHeight="1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  <c r="AA240" s="32"/>
      <c r="AB240" s="32"/>
      <c r="AC240" s="32"/>
      <c r="AD240" s="32"/>
      <c r="AE240" s="32"/>
      <c r="AF240" s="32"/>
      <c r="AG240" s="32"/>
    </row>
    <row r="241" ht="46.5" customHeight="1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2"/>
      <c r="AB241" s="32"/>
      <c r="AC241" s="32"/>
      <c r="AD241" s="32"/>
      <c r="AE241" s="32"/>
      <c r="AF241" s="32"/>
      <c r="AG241" s="32"/>
    </row>
    <row r="242" ht="46.5" customHeight="1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2"/>
      <c r="AB242" s="32"/>
      <c r="AC242" s="32"/>
      <c r="AD242" s="32"/>
      <c r="AE242" s="32"/>
      <c r="AF242" s="32"/>
      <c r="AG242" s="32"/>
    </row>
    <row r="243" ht="46.5" customHeight="1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  <c r="AB243" s="32"/>
      <c r="AC243" s="32"/>
      <c r="AD243" s="32"/>
      <c r="AE243" s="32"/>
      <c r="AF243" s="32"/>
      <c r="AG243" s="32"/>
    </row>
    <row r="244" ht="46.5" customHeight="1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  <c r="AB244" s="32"/>
      <c r="AC244" s="32"/>
      <c r="AD244" s="32"/>
      <c r="AE244" s="32"/>
      <c r="AF244" s="32"/>
      <c r="AG244" s="32"/>
    </row>
    <row r="245" ht="46.5" customHeight="1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  <c r="AB245" s="32"/>
      <c r="AC245" s="32"/>
      <c r="AD245" s="32"/>
      <c r="AE245" s="32"/>
      <c r="AF245" s="32"/>
      <c r="AG245" s="32"/>
    </row>
    <row r="246" ht="46.5" customHeight="1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  <c r="AB246" s="32"/>
      <c r="AC246" s="32"/>
      <c r="AD246" s="32"/>
      <c r="AE246" s="32"/>
      <c r="AF246" s="32"/>
      <c r="AG246" s="32"/>
    </row>
    <row r="247" ht="46.5" customHeight="1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  <c r="AB247" s="32"/>
      <c r="AC247" s="32"/>
      <c r="AD247" s="32"/>
      <c r="AE247" s="32"/>
      <c r="AF247" s="32"/>
      <c r="AG247" s="32"/>
    </row>
    <row r="248" ht="46.5" customHeight="1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  <c r="AB248" s="32"/>
      <c r="AC248" s="32"/>
      <c r="AD248" s="32"/>
      <c r="AE248" s="32"/>
      <c r="AF248" s="32"/>
      <c r="AG248" s="32"/>
    </row>
    <row r="249" ht="46.5" customHeight="1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  <c r="AB249" s="32"/>
      <c r="AC249" s="32"/>
      <c r="AD249" s="32"/>
      <c r="AE249" s="32"/>
      <c r="AF249" s="32"/>
      <c r="AG249" s="32"/>
    </row>
    <row r="250" ht="46.5" customHeight="1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  <c r="AB250" s="32"/>
      <c r="AC250" s="32"/>
      <c r="AD250" s="32"/>
      <c r="AE250" s="32"/>
      <c r="AF250" s="32"/>
      <c r="AG250" s="32"/>
    </row>
    <row r="251" ht="46.5" customHeight="1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  <c r="AB251" s="32"/>
      <c r="AC251" s="32"/>
      <c r="AD251" s="32"/>
      <c r="AE251" s="32"/>
      <c r="AF251" s="32"/>
      <c r="AG251" s="32"/>
    </row>
    <row r="252" ht="46.5" customHeight="1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  <c r="AB252" s="32"/>
      <c r="AC252" s="32"/>
      <c r="AD252" s="32"/>
      <c r="AE252" s="32"/>
      <c r="AF252" s="32"/>
      <c r="AG252" s="32"/>
    </row>
    <row r="253" ht="46.5" customHeight="1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  <c r="AB253" s="32"/>
      <c r="AC253" s="32"/>
      <c r="AD253" s="32"/>
      <c r="AE253" s="32"/>
      <c r="AF253" s="32"/>
      <c r="AG253" s="32"/>
    </row>
    <row r="254" ht="46.5" customHeight="1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  <c r="AA254" s="32"/>
      <c r="AB254" s="32"/>
      <c r="AC254" s="32"/>
      <c r="AD254" s="32"/>
      <c r="AE254" s="32"/>
      <c r="AF254" s="32"/>
      <c r="AG254" s="32"/>
    </row>
    <row r="255" ht="46.5" customHeight="1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  <c r="AA255" s="32"/>
      <c r="AB255" s="32"/>
      <c r="AC255" s="32"/>
      <c r="AD255" s="32"/>
      <c r="AE255" s="32"/>
      <c r="AF255" s="32"/>
      <c r="AG255" s="32"/>
    </row>
    <row r="256" ht="46.5" customHeight="1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  <c r="AA256" s="32"/>
      <c r="AB256" s="32"/>
      <c r="AC256" s="32"/>
      <c r="AD256" s="32"/>
      <c r="AE256" s="32"/>
      <c r="AF256" s="32"/>
      <c r="AG256" s="32"/>
    </row>
    <row r="257" ht="46.5" customHeight="1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  <c r="AA257" s="32"/>
      <c r="AB257" s="32"/>
      <c r="AC257" s="32"/>
      <c r="AD257" s="32"/>
      <c r="AE257" s="32"/>
      <c r="AF257" s="32"/>
      <c r="AG257" s="32"/>
    </row>
    <row r="258" ht="46.5" customHeight="1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  <c r="AA258" s="32"/>
      <c r="AB258" s="32"/>
      <c r="AC258" s="32"/>
      <c r="AD258" s="32"/>
      <c r="AE258" s="32"/>
      <c r="AF258" s="32"/>
      <c r="AG258" s="32"/>
    </row>
    <row r="259" ht="46.5" customHeight="1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  <c r="AA259" s="32"/>
      <c r="AB259" s="32"/>
      <c r="AC259" s="32"/>
      <c r="AD259" s="32"/>
      <c r="AE259" s="32"/>
      <c r="AF259" s="32"/>
      <c r="AG259" s="32"/>
    </row>
    <row r="260" ht="46.5" customHeight="1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  <c r="AA260" s="32"/>
      <c r="AB260" s="32"/>
      <c r="AC260" s="32"/>
      <c r="AD260" s="32"/>
      <c r="AE260" s="32"/>
      <c r="AF260" s="32"/>
      <c r="AG260" s="32"/>
    </row>
    <row r="261" ht="46.5" customHeight="1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  <c r="AA261" s="32"/>
      <c r="AB261" s="32"/>
      <c r="AC261" s="32"/>
      <c r="AD261" s="32"/>
      <c r="AE261" s="32"/>
      <c r="AF261" s="32"/>
      <c r="AG261" s="32"/>
    </row>
    <row r="262" ht="46.5" customHeight="1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  <c r="AA262" s="32"/>
      <c r="AB262" s="32"/>
      <c r="AC262" s="32"/>
      <c r="AD262" s="32"/>
      <c r="AE262" s="32"/>
      <c r="AF262" s="32"/>
      <c r="AG262" s="32"/>
    </row>
    <row r="263" ht="46.5" customHeight="1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  <c r="AA263" s="32"/>
      <c r="AB263" s="32"/>
      <c r="AC263" s="32"/>
      <c r="AD263" s="32"/>
      <c r="AE263" s="32"/>
      <c r="AF263" s="32"/>
      <c r="AG263" s="32"/>
    </row>
    <row r="264" ht="46.5" customHeight="1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  <c r="AA264" s="32"/>
      <c r="AB264" s="32"/>
      <c r="AC264" s="32"/>
      <c r="AD264" s="32"/>
      <c r="AE264" s="32"/>
      <c r="AF264" s="32"/>
      <c r="AG264" s="32"/>
    </row>
    <row r="265" ht="46.5" customHeight="1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  <c r="AA265" s="32"/>
      <c r="AB265" s="32"/>
      <c r="AC265" s="32"/>
      <c r="AD265" s="32"/>
      <c r="AE265" s="32"/>
      <c r="AF265" s="32"/>
      <c r="AG265" s="32"/>
    </row>
    <row r="266" ht="46.5" customHeight="1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  <c r="AA266" s="32"/>
      <c r="AB266" s="32"/>
      <c r="AC266" s="32"/>
      <c r="AD266" s="32"/>
      <c r="AE266" s="32"/>
      <c r="AF266" s="32"/>
      <c r="AG266" s="32"/>
    </row>
    <row r="267" ht="46.5" customHeight="1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  <c r="AA267" s="32"/>
      <c r="AB267" s="32"/>
      <c r="AC267" s="32"/>
      <c r="AD267" s="32"/>
      <c r="AE267" s="32"/>
      <c r="AF267" s="32"/>
      <c r="AG267" s="32"/>
    </row>
    <row r="268" ht="46.5" customHeight="1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  <c r="AA268" s="32"/>
      <c r="AB268" s="32"/>
      <c r="AC268" s="32"/>
      <c r="AD268" s="32"/>
      <c r="AE268" s="32"/>
      <c r="AF268" s="32"/>
      <c r="AG268" s="32"/>
    </row>
    <row r="269" ht="46.5" customHeight="1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  <c r="AA269" s="32"/>
      <c r="AB269" s="32"/>
      <c r="AC269" s="32"/>
      <c r="AD269" s="32"/>
      <c r="AE269" s="32"/>
      <c r="AF269" s="32"/>
      <c r="AG269" s="32"/>
    </row>
    <row r="270" ht="46.5" customHeight="1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  <c r="AA270" s="32"/>
      <c r="AB270" s="32"/>
      <c r="AC270" s="32"/>
      <c r="AD270" s="32"/>
      <c r="AE270" s="32"/>
      <c r="AF270" s="32"/>
      <c r="AG270" s="32"/>
    </row>
    <row r="271" ht="46.5" customHeight="1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  <c r="AA271" s="32"/>
      <c r="AB271" s="32"/>
      <c r="AC271" s="32"/>
      <c r="AD271" s="32"/>
      <c r="AE271" s="32"/>
      <c r="AF271" s="32"/>
      <c r="AG271" s="32"/>
    </row>
    <row r="272" ht="46.5" customHeight="1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  <c r="AA272" s="32"/>
      <c r="AB272" s="32"/>
      <c r="AC272" s="32"/>
      <c r="AD272" s="32"/>
      <c r="AE272" s="32"/>
      <c r="AF272" s="32"/>
      <c r="AG272" s="32"/>
    </row>
    <row r="273" ht="46.5" customHeight="1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  <c r="AA273" s="32"/>
      <c r="AB273" s="32"/>
      <c r="AC273" s="32"/>
      <c r="AD273" s="32"/>
      <c r="AE273" s="32"/>
      <c r="AF273" s="32"/>
      <c r="AG273" s="32"/>
    </row>
    <row r="274" ht="46.5" customHeight="1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  <c r="AA274" s="32"/>
      <c r="AB274" s="32"/>
      <c r="AC274" s="32"/>
      <c r="AD274" s="32"/>
      <c r="AE274" s="32"/>
      <c r="AF274" s="32"/>
      <c r="AG274" s="32"/>
    </row>
    <row r="275" ht="46.5" customHeight="1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  <c r="AA275" s="32"/>
      <c r="AB275" s="32"/>
      <c r="AC275" s="32"/>
      <c r="AD275" s="32"/>
      <c r="AE275" s="32"/>
      <c r="AF275" s="32"/>
      <c r="AG275" s="32"/>
    </row>
    <row r="276" ht="46.5" customHeight="1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  <c r="AA276" s="32"/>
      <c r="AB276" s="32"/>
      <c r="AC276" s="32"/>
      <c r="AD276" s="32"/>
      <c r="AE276" s="32"/>
      <c r="AF276" s="32"/>
      <c r="AG276" s="32"/>
    </row>
    <row r="277" ht="46.5" customHeight="1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  <c r="AA277" s="32"/>
      <c r="AB277" s="32"/>
      <c r="AC277" s="32"/>
      <c r="AD277" s="32"/>
      <c r="AE277" s="32"/>
      <c r="AF277" s="32"/>
      <c r="AG277" s="32"/>
    </row>
    <row r="278" ht="46.5" customHeight="1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  <c r="AA278" s="32"/>
      <c r="AB278" s="32"/>
      <c r="AC278" s="32"/>
      <c r="AD278" s="32"/>
      <c r="AE278" s="32"/>
      <c r="AF278" s="32"/>
      <c r="AG278" s="32"/>
    </row>
    <row r="279" ht="46.5" customHeight="1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  <c r="AA279" s="32"/>
      <c r="AB279" s="32"/>
      <c r="AC279" s="32"/>
      <c r="AD279" s="32"/>
      <c r="AE279" s="32"/>
      <c r="AF279" s="32"/>
      <c r="AG279" s="32"/>
    </row>
    <row r="280" ht="46.5" customHeight="1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  <c r="AA280" s="32"/>
      <c r="AB280" s="32"/>
      <c r="AC280" s="32"/>
      <c r="AD280" s="32"/>
      <c r="AE280" s="32"/>
      <c r="AF280" s="32"/>
      <c r="AG280" s="32"/>
    </row>
    <row r="281" ht="46.5" customHeight="1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  <c r="AA281" s="32"/>
      <c r="AB281" s="32"/>
      <c r="AC281" s="32"/>
      <c r="AD281" s="32"/>
      <c r="AE281" s="32"/>
      <c r="AF281" s="32"/>
      <c r="AG281" s="32"/>
    </row>
    <row r="282" ht="46.5" customHeight="1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  <c r="AA282" s="32"/>
      <c r="AB282" s="32"/>
      <c r="AC282" s="32"/>
      <c r="AD282" s="32"/>
      <c r="AE282" s="32"/>
      <c r="AF282" s="32"/>
      <c r="AG282" s="32"/>
    </row>
    <row r="283" ht="46.5" customHeight="1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  <c r="AA283" s="32"/>
      <c r="AB283" s="32"/>
      <c r="AC283" s="32"/>
      <c r="AD283" s="32"/>
      <c r="AE283" s="32"/>
      <c r="AF283" s="32"/>
      <c r="AG283" s="32"/>
    </row>
    <row r="284" ht="46.5" customHeight="1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  <c r="AA284" s="32"/>
      <c r="AB284" s="32"/>
      <c r="AC284" s="32"/>
      <c r="AD284" s="32"/>
      <c r="AE284" s="32"/>
      <c r="AF284" s="32"/>
      <c r="AG284" s="32"/>
    </row>
    <row r="285" ht="46.5" customHeight="1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  <c r="AA285" s="32"/>
      <c r="AB285" s="32"/>
      <c r="AC285" s="32"/>
      <c r="AD285" s="32"/>
      <c r="AE285" s="32"/>
      <c r="AF285" s="32"/>
      <c r="AG285" s="32"/>
    </row>
    <row r="286" ht="46.5" customHeight="1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  <c r="AA286" s="32"/>
      <c r="AB286" s="32"/>
      <c r="AC286" s="32"/>
      <c r="AD286" s="32"/>
      <c r="AE286" s="32"/>
      <c r="AF286" s="32"/>
      <c r="AG286" s="32"/>
    </row>
    <row r="287" ht="46.5" customHeight="1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  <c r="AA287" s="32"/>
      <c r="AB287" s="32"/>
      <c r="AC287" s="32"/>
      <c r="AD287" s="32"/>
      <c r="AE287" s="32"/>
      <c r="AF287" s="32"/>
      <c r="AG287" s="32"/>
    </row>
    <row r="288" ht="46.5" customHeight="1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  <c r="AA288" s="32"/>
      <c r="AB288" s="32"/>
      <c r="AC288" s="32"/>
      <c r="AD288" s="32"/>
      <c r="AE288" s="32"/>
      <c r="AF288" s="32"/>
      <c r="AG288" s="32"/>
    </row>
    <row r="289" ht="46.5" customHeight="1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  <c r="AA289" s="32"/>
      <c r="AB289" s="32"/>
      <c r="AC289" s="32"/>
      <c r="AD289" s="32"/>
      <c r="AE289" s="32"/>
      <c r="AF289" s="32"/>
      <c r="AG289" s="32"/>
    </row>
    <row r="290" ht="46.5" customHeight="1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  <c r="AA290" s="32"/>
      <c r="AB290" s="32"/>
      <c r="AC290" s="32"/>
      <c r="AD290" s="32"/>
      <c r="AE290" s="32"/>
      <c r="AF290" s="32"/>
      <c r="AG290" s="32"/>
    </row>
    <row r="291" ht="46.5" customHeight="1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  <c r="AA291" s="32"/>
      <c r="AB291" s="32"/>
      <c r="AC291" s="32"/>
      <c r="AD291" s="32"/>
      <c r="AE291" s="32"/>
      <c r="AF291" s="32"/>
      <c r="AG291" s="32"/>
    </row>
    <row r="292" ht="46.5" customHeight="1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  <c r="AA292" s="32"/>
      <c r="AB292" s="32"/>
      <c r="AC292" s="32"/>
      <c r="AD292" s="32"/>
      <c r="AE292" s="32"/>
      <c r="AF292" s="32"/>
      <c r="AG292" s="32"/>
    </row>
    <row r="293" ht="46.5" customHeight="1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  <c r="AA293" s="32"/>
      <c r="AB293" s="32"/>
      <c r="AC293" s="32"/>
      <c r="AD293" s="32"/>
      <c r="AE293" s="32"/>
      <c r="AF293" s="32"/>
      <c r="AG293" s="32"/>
    </row>
    <row r="294" ht="46.5" customHeight="1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  <c r="AA294" s="32"/>
      <c r="AB294" s="32"/>
      <c r="AC294" s="32"/>
      <c r="AD294" s="32"/>
      <c r="AE294" s="32"/>
      <c r="AF294" s="32"/>
      <c r="AG294" s="32"/>
    </row>
    <row r="295" ht="46.5" customHeight="1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  <c r="AA295" s="32"/>
      <c r="AB295" s="32"/>
      <c r="AC295" s="32"/>
      <c r="AD295" s="32"/>
      <c r="AE295" s="32"/>
      <c r="AF295" s="32"/>
      <c r="AG295" s="32"/>
    </row>
    <row r="296" ht="46.5" customHeight="1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  <c r="AA296" s="32"/>
      <c r="AB296" s="32"/>
      <c r="AC296" s="32"/>
      <c r="AD296" s="32"/>
      <c r="AE296" s="32"/>
      <c r="AF296" s="32"/>
      <c r="AG296" s="32"/>
    </row>
    <row r="297" ht="46.5" customHeight="1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  <c r="AA297" s="32"/>
      <c r="AB297" s="32"/>
      <c r="AC297" s="32"/>
      <c r="AD297" s="32"/>
      <c r="AE297" s="32"/>
      <c r="AF297" s="32"/>
      <c r="AG297" s="32"/>
    </row>
    <row r="298" ht="46.5" customHeight="1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  <c r="AA298" s="32"/>
      <c r="AB298" s="32"/>
      <c r="AC298" s="32"/>
      <c r="AD298" s="32"/>
      <c r="AE298" s="32"/>
      <c r="AF298" s="32"/>
      <c r="AG298" s="32"/>
    </row>
    <row r="299" ht="46.5" customHeight="1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  <c r="AA299" s="32"/>
      <c r="AB299" s="32"/>
      <c r="AC299" s="32"/>
      <c r="AD299" s="32"/>
      <c r="AE299" s="32"/>
      <c r="AF299" s="32"/>
      <c r="AG299" s="32"/>
    </row>
    <row r="300" ht="46.5" customHeight="1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  <c r="AA300" s="32"/>
      <c r="AB300" s="32"/>
      <c r="AC300" s="32"/>
      <c r="AD300" s="32"/>
      <c r="AE300" s="32"/>
      <c r="AF300" s="32"/>
      <c r="AG300" s="32"/>
    </row>
    <row r="301" ht="46.5" customHeight="1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  <c r="AA301" s="32"/>
      <c r="AB301" s="32"/>
      <c r="AC301" s="32"/>
      <c r="AD301" s="32"/>
      <c r="AE301" s="32"/>
      <c r="AF301" s="32"/>
      <c r="AG301" s="32"/>
    </row>
    <row r="302" ht="46.5" customHeight="1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  <c r="AA302" s="32"/>
      <c r="AB302" s="32"/>
      <c r="AC302" s="32"/>
      <c r="AD302" s="32"/>
      <c r="AE302" s="32"/>
      <c r="AF302" s="32"/>
      <c r="AG302" s="32"/>
    </row>
    <row r="303" ht="46.5" customHeight="1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  <c r="AA303" s="32"/>
      <c r="AB303" s="32"/>
      <c r="AC303" s="32"/>
      <c r="AD303" s="32"/>
      <c r="AE303" s="32"/>
      <c r="AF303" s="32"/>
      <c r="AG303" s="32"/>
    </row>
    <row r="304" ht="46.5" customHeight="1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  <c r="AA304" s="32"/>
      <c r="AB304" s="32"/>
      <c r="AC304" s="32"/>
      <c r="AD304" s="32"/>
      <c r="AE304" s="32"/>
      <c r="AF304" s="32"/>
      <c r="AG304" s="32"/>
    </row>
    <row r="305" ht="46.5" customHeight="1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  <c r="AA305" s="32"/>
      <c r="AB305" s="32"/>
      <c r="AC305" s="32"/>
      <c r="AD305" s="32"/>
      <c r="AE305" s="32"/>
      <c r="AF305" s="32"/>
      <c r="AG305" s="32"/>
    </row>
    <row r="306" ht="46.5" customHeight="1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  <c r="AA306" s="32"/>
      <c r="AB306" s="32"/>
      <c r="AC306" s="32"/>
      <c r="AD306" s="32"/>
      <c r="AE306" s="32"/>
      <c r="AF306" s="32"/>
      <c r="AG306" s="32"/>
    </row>
    <row r="307" ht="46.5" customHeight="1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  <c r="AA307" s="32"/>
      <c r="AB307" s="32"/>
      <c r="AC307" s="32"/>
      <c r="AD307" s="32"/>
      <c r="AE307" s="32"/>
      <c r="AF307" s="32"/>
      <c r="AG307" s="32"/>
    </row>
    <row r="308" ht="46.5" customHeight="1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  <c r="AA308" s="32"/>
      <c r="AB308" s="32"/>
      <c r="AC308" s="32"/>
      <c r="AD308" s="32"/>
      <c r="AE308" s="32"/>
      <c r="AF308" s="32"/>
      <c r="AG308" s="32"/>
    </row>
    <row r="309" ht="46.5" customHeight="1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  <c r="AA309" s="32"/>
      <c r="AB309" s="32"/>
      <c r="AC309" s="32"/>
      <c r="AD309" s="32"/>
      <c r="AE309" s="32"/>
      <c r="AF309" s="32"/>
      <c r="AG309" s="32"/>
    </row>
    <row r="310" ht="46.5" customHeight="1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  <c r="AA310" s="32"/>
      <c r="AB310" s="32"/>
      <c r="AC310" s="32"/>
      <c r="AD310" s="32"/>
      <c r="AE310" s="32"/>
      <c r="AF310" s="32"/>
      <c r="AG310" s="32"/>
    </row>
    <row r="311" ht="46.5" customHeight="1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  <c r="AA311" s="32"/>
      <c r="AB311" s="32"/>
      <c r="AC311" s="32"/>
      <c r="AD311" s="32"/>
      <c r="AE311" s="32"/>
      <c r="AF311" s="32"/>
      <c r="AG311" s="32"/>
    </row>
    <row r="312" ht="46.5" customHeight="1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  <c r="AA312" s="32"/>
      <c r="AB312" s="32"/>
      <c r="AC312" s="32"/>
      <c r="AD312" s="32"/>
      <c r="AE312" s="32"/>
      <c r="AF312" s="32"/>
      <c r="AG312" s="32"/>
    </row>
    <row r="313" ht="46.5" customHeight="1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  <c r="AA313" s="32"/>
      <c r="AB313" s="32"/>
      <c r="AC313" s="32"/>
      <c r="AD313" s="32"/>
      <c r="AE313" s="32"/>
      <c r="AF313" s="32"/>
      <c r="AG313" s="32"/>
    </row>
    <row r="314" ht="46.5" customHeight="1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  <c r="AA314" s="32"/>
      <c r="AB314" s="32"/>
      <c r="AC314" s="32"/>
      <c r="AD314" s="32"/>
      <c r="AE314" s="32"/>
      <c r="AF314" s="32"/>
      <c r="AG314" s="32"/>
    </row>
    <row r="315" ht="46.5" customHeight="1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  <c r="AA315" s="32"/>
      <c r="AB315" s="32"/>
      <c r="AC315" s="32"/>
      <c r="AD315" s="32"/>
      <c r="AE315" s="32"/>
      <c r="AF315" s="32"/>
      <c r="AG315" s="32"/>
    </row>
    <row r="316" ht="46.5" customHeight="1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  <c r="AA316" s="32"/>
      <c r="AB316" s="32"/>
      <c r="AC316" s="32"/>
      <c r="AD316" s="32"/>
      <c r="AE316" s="32"/>
      <c r="AF316" s="32"/>
      <c r="AG316" s="32"/>
    </row>
    <row r="317" ht="46.5" customHeight="1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  <c r="AA317" s="32"/>
      <c r="AB317" s="32"/>
      <c r="AC317" s="32"/>
      <c r="AD317" s="32"/>
      <c r="AE317" s="32"/>
      <c r="AF317" s="32"/>
      <c r="AG317" s="32"/>
    </row>
    <row r="318" ht="46.5" customHeight="1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  <c r="AA318" s="32"/>
      <c r="AB318" s="32"/>
      <c r="AC318" s="32"/>
      <c r="AD318" s="32"/>
      <c r="AE318" s="32"/>
      <c r="AF318" s="32"/>
      <c r="AG318" s="32"/>
    </row>
    <row r="319" ht="46.5" customHeight="1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  <c r="AA319" s="32"/>
      <c r="AB319" s="32"/>
      <c r="AC319" s="32"/>
      <c r="AD319" s="32"/>
      <c r="AE319" s="32"/>
      <c r="AF319" s="32"/>
      <c r="AG319" s="32"/>
    </row>
    <row r="320" ht="46.5" customHeight="1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  <c r="AA320" s="32"/>
      <c r="AB320" s="32"/>
      <c r="AC320" s="32"/>
      <c r="AD320" s="32"/>
      <c r="AE320" s="32"/>
      <c r="AF320" s="32"/>
      <c r="AG320" s="32"/>
    </row>
    <row r="321" ht="46.5" customHeight="1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  <c r="AA321" s="32"/>
      <c r="AB321" s="32"/>
      <c r="AC321" s="32"/>
      <c r="AD321" s="32"/>
      <c r="AE321" s="32"/>
      <c r="AF321" s="32"/>
      <c r="AG321" s="32"/>
    </row>
    <row r="322" ht="46.5" customHeight="1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  <c r="AA322" s="32"/>
      <c r="AB322" s="32"/>
      <c r="AC322" s="32"/>
      <c r="AD322" s="32"/>
      <c r="AE322" s="32"/>
      <c r="AF322" s="32"/>
      <c r="AG322" s="32"/>
    </row>
    <row r="323" ht="46.5" customHeight="1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  <c r="AA323" s="32"/>
      <c r="AB323" s="32"/>
      <c r="AC323" s="32"/>
      <c r="AD323" s="32"/>
      <c r="AE323" s="32"/>
      <c r="AF323" s="32"/>
      <c r="AG323" s="32"/>
    </row>
    <row r="324" ht="46.5" customHeight="1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  <c r="AA324" s="32"/>
      <c r="AB324" s="32"/>
      <c r="AC324" s="32"/>
      <c r="AD324" s="32"/>
      <c r="AE324" s="32"/>
      <c r="AF324" s="32"/>
      <c r="AG324" s="32"/>
    </row>
    <row r="325" ht="46.5" customHeight="1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  <c r="AA325" s="32"/>
      <c r="AB325" s="32"/>
      <c r="AC325" s="32"/>
      <c r="AD325" s="32"/>
      <c r="AE325" s="32"/>
      <c r="AF325" s="32"/>
      <c r="AG325" s="32"/>
    </row>
    <row r="326" ht="46.5" customHeight="1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  <c r="AA326" s="32"/>
      <c r="AB326" s="32"/>
      <c r="AC326" s="32"/>
      <c r="AD326" s="32"/>
      <c r="AE326" s="32"/>
      <c r="AF326" s="32"/>
      <c r="AG326" s="32"/>
    </row>
    <row r="327" ht="46.5" customHeight="1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  <c r="AA327" s="32"/>
      <c r="AB327" s="32"/>
      <c r="AC327" s="32"/>
      <c r="AD327" s="32"/>
      <c r="AE327" s="32"/>
      <c r="AF327" s="32"/>
      <c r="AG327" s="32"/>
    </row>
    <row r="328" ht="46.5" customHeight="1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  <c r="AA328" s="32"/>
      <c r="AB328" s="32"/>
      <c r="AC328" s="32"/>
      <c r="AD328" s="32"/>
      <c r="AE328" s="32"/>
      <c r="AF328" s="32"/>
      <c r="AG328" s="32"/>
    </row>
    <row r="329" ht="46.5" customHeight="1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  <c r="AA329" s="32"/>
      <c r="AB329" s="32"/>
      <c r="AC329" s="32"/>
      <c r="AD329" s="32"/>
      <c r="AE329" s="32"/>
      <c r="AF329" s="32"/>
      <c r="AG329" s="32"/>
    </row>
    <row r="330" ht="46.5" customHeight="1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  <c r="AA330" s="32"/>
      <c r="AB330" s="32"/>
      <c r="AC330" s="32"/>
      <c r="AD330" s="32"/>
      <c r="AE330" s="32"/>
      <c r="AF330" s="32"/>
      <c r="AG330" s="32"/>
    </row>
    <row r="331" ht="46.5" customHeight="1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  <c r="AA331" s="32"/>
      <c r="AB331" s="32"/>
      <c r="AC331" s="32"/>
      <c r="AD331" s="32"/>
      <c r="AE331" s="32"/>
      <c r="AF331" s="32"/>
      <c r="AG331" s="32"/>
    </row>
    <row r="332" ht="46.5" customHeight="1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  <c r="AA332" s="32"/>
      <c r="AB332" s="32"/>
      <c r="AC332" s="32"/>
      <c r="AD332" s="32"/>
      <c r="AE332" s="32"/>
      <c r="AF332" s="32"/>
      <c r="AG332" s="32"/>
    </row>
    <row r="333" ht="46.5" customHeight="1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  <c r="AA333" s="32"/>
      <c r="AB333" s="32"/>
      <c r="AC333" s="32"/>
      <c r="AD333" s="32"/>
      <c r="AE333" s="32"/>
      <c r="AF333" s="32"/>
      <c r="AG333" s="32"/>
    </row>
    <row r="334" ht="46.5" customHeight="1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  <c r="AA334" s="32"/>
      <c r="AB334" s="32"/>
      <c r="AC334" s="32"/>
      <c r="AD334" s="32"/>
      <c r="AE334" s="32"/>
      <c r="AF334" s="32"/>
      <c r="AG334" s="32"/>
    </row>
    <row r="335" ht="46.5" customHeight="1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  <c r="AA335" s="32"/>
      <c r="AB335" s="32"/>
      <c r="AC335" s="32"/>
      <c r="AD335" s="32"/>
      <c r="AE335" s="32"/>
      <c r="AF335" s="32"/>
      <c r="AG335" s="32"/>
    </row>
    <row r="336" ht="46.5" customHeight="1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  <c r="AA336" s="32"/>
      <c r="AB336" s="32"/>
      <c r="AC336" s="32"/>
      <c r="AD336" s="32"/>
      <c r="AE336" s="32"/>
      <c r="AF336" s="32"/>
      <c r="AG336" s="32"/>
    </row>
    <row r="337" ht="46.5" customHeight="1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  <c r="AA337" s="32"/>
      <c r="AB337" s="32"/>
      <c r="AC337" s="32"/>
      <c r="AD337" s="32"/>
      <c r="AE337" s="32"/>
      <c r="AF337" s="32"/>
      <c r="AG337" s="32"/>
    </row>
    <row r="338" ht="46.5" customHeight="1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  <c r="AA338" s="32"/>
      <c r="AB338" s="32"/>
      <c r="AC338" s="32"/>
      <c r="AD338" s="32"/>
      <c r="AE338" s="32"/>
      <c r="AF338" s="32"/>
      <c r="AG338" s="32"/>
    </row>
    <row r="339" ht="46.5" customHeight="1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  <c r="AA339" s="32"/>
      <c r="AB339" s="32"/>
      <c r="AC339" s="32"/>
      <c r="AD339" s="32"/>
      <c r="AE339" s="32"/>
      <c r="AF339" s="32"/>
      <c r="AG339" s="32"/>
    </row>
    <row r="340" ht="46.5" customHeight="1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  <c r="AA340" s="32"/>
      <c r="AB340" s="32"/>
      <c r="AC340" s="32"/>
      <c r="AD340" s="32"/>
      <c r="AE340" s="32"/>
      <c r="AF340" s="32"/>
      <c r="AG340" s="32"/>
    </row>
    <row r="341" ht="46.5" customHeight="1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  <c r="AA341" s="32"/>
      <c r="AB341" s="32"/>
      <c r="AC341" s="32"/>
      <c r="AD341" s="32"/>
      <c r="AE341" s="32"/>
      <c r="AF341" s="32"/>
      <c r="AG341" s="32"/>
    </row>
    <row r="342" ht="46.5" customHeight="1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  <c r="AA342" s="32"/>
      <c r="AB342" s="32"/>
      <c r="AC342" s="32"/>
      <c r="AD342" s="32"/>
      <c r="AE342" s="32"/>
      <c r="AF342" s="32"/>
      <c r="AG342" s="32"/>
    </row>
    <row r="343" ht="46.5" customHeight="1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  <c r="AA343" s="32"/>
      <c r="AB343" s="32"/>
      <c r="AC343" s="32"/>
      <c r="AD343" s="32"/>
      <c r="AE343" s="32"/>
      <c r="AF343" s="32"/>
      <c r="AG343" s="32"/>
    </row>
    <row r="344" ht="46.5" customHeight="1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  <c r="AA344" s="32"/>
      <c r="AB344" s="32"/>
      <c r="AC344" s="32"/>
      <c r="AD344" s="32"/>
      <c r="AE344" s="32"/>
      <c r="AF344" s="32"/>
      <c r="AG344" s="32"/>
    </row>
    <row r="345" ht="46.5" customHeight="1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  <c r="AA345" s="32"/>
      <c r="AB345" s="32"/>
      <c r="AC345" s="32"/>
      <c r="AD345" s="32"/>
      <c r="AE345" s="32"/>
      <c r="AF345" s="32"/>
      <c r="AG345" s="32"/>
    </row>
    <row r="346" ht="46.5" customHeight="1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  <c r="AB346" s="32"/>
      <c r="AC346" s="32"/>
      <c r="AD346" s="32"/>
      <c r="AE346" s="32"/>
      <c r="AF346" s="32"/>
      <c r="AG346" s="32"/>
    </row>
    <row r="347" ht="46.5" customHeight="1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  <c r="AB347" s="32"/>
      <c r="AC347" s="32"/>
      <c r="AD347" s="32"/>
      <c r="AE347" s="32"/>
      <c r="AF347" s="32"/>
      <c r="AG347" s="32"/>
    </row>
    <row r="348" ht="46.5" customHeight="1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  <c r="AB348" s="32"/>
      <c r="AC348" s="32"/>
      <c r="AD348" s="32"/>
      <c r="AE348" s="32"/>
      <c r="AF348" s="32"/>
      <c r="AG348" s="32"/>
    </row>
    <row r="349" ht="46.5" customHeight="1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2"/>
      <c r="AB349" s="32"/>
      <c r="AC349" s="32"/>
      <c r="AD349" s="32"/>
      <c r="AE349" s="32"/>
      <c r="AF349" s="32"/>
      <c r="AG349" s="32"/>
    </row>
    <row r="350" ht="46.5" customHeight="1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2"/>
      <c r="AB350" s="32"/>
      <c r="AC350" s="32"/>
      <c r="AD350" s="32"/>
      <c r="AE350" s="32"/>
      <c r="AF350" s="32"/>
      <c r="AG350" s="32"/>
    </row>
    <row r="351" ht="46.5" customHeight="1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  <c r="AB351" s="32"/>
      <c r="AC351" s="32"/>
      <c r="AD351" s="32"/>
      <c r="AE351" s="32"/>
      <c r="AF351" s="32"/>
      <c r="AG351" s="32"/>
    </row>
    <row r="352" ht="46.5" customHeight="1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  <c r="AA352" s="32"/>
      <c r="AB352" s="32"/>
      <c r="AC352" s="32"/>
      <c r="AD352" s="32"/>
      <c r="AE352" s="32"/>
      <c r="AF352" s="32"/>
      <c r="AG352" s="32"/>
    </row>
    <row r="353" ht="46.5" customHeight="1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  <c r="AA353" s="32"/>
      <c r="AB353" s="32"/>
      <c r="AC353" s="32"/>
      <c r="AD353" s="32"/>
      <c r="AE353" s="32"/>
      <c r="AF353" s="32"/>
      <c r="AG353" s="32"/>
    </row>
    <row r="354" ht="46.5" customHeight="1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2"/>
      <c r="AB354" s="32"/>
      <c r="AC354" s="32"/>
      <c r="AD354" s="32"/>
      <c r="AE354" s="32"/>
      <c r="AF354" s="32"/>
      <c r="AG354" s="32"/>
    </row>
    <row r="355" ht="46.5" customHeight="1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  <c r="AA355" s="32"/>
      <c r="AB355" s="32"/>
      <c r="AC355" s="32"/>
      <c r="AD355" s="32"/>
      <c r="AE355" s="32"/>
      <c r="AF355" s="32"/>
      <c r="AG355" s="32"/>
    </row>
    <row r="356" ht="46.5" customHeight="1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  <c r="AA356" s="32"/>
      <c r="AB356" s="32"/>
      <c r="AC356" s="32"/>
      <c r="AD356" s="32"/>
      <c r="AE356" s="32"/>
      <c r="AF356" s="32"/>
      <c r="AG356" s="32"/>
    </row>
    <row r="357" ht="46.5" customHeight="1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  <c r="AA357" s="32"/>
      <c r="AB357" s="32"/>
      <c r="AC357" s="32"/>
      <c r="AD357" s="32"/>
      <c r="AE357" s="32"/>
      <c r="AF357" s="32"/>
      <c r="AG357" s="32"/>
    </row>
    <row r="358" ht="46.5" customHeight="1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  <c r="AA358" s="32"/>
      <c r="AB358" s="32"/>
      <c r="AC358" s="32"/>
      <c r="AD358" s="32"/>
      <c r="AE358" s="32"/>
      <c r="AF358" s="32"/>
      <c r="AG358" s="32"/>
    </row>
    <row r="359" ht="46.5" customHeight="1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  <c r="AA359" s="32"/>
      <c r="AB359" s="32"/>
      <c r="AC359" s="32"/>
      <c r="AD359" s="32"/>
      <c r="AE359" s="32"/>
      <c r="AF359" s="32"/>
      <c r="AG359" s="32"/>
    </row>
    <row r="360" ht="46.5" customHeight="1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  <c r="AA360" s="32"/>
      <c r="AB360" s="32"/>
      <c r="AC360" s="32"/>
      <c r="AD360" s="32"/>
      <c r="AE360" s="32"/>
      <c r="AF360" s="32"/>
      <c r="AG360" s="32"/>
    </row>
    <row r="361" ht="46.5" customHeight="1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  <c r="AA361" s="32"/>
      <c r="AB361" s="32"/>
      <c r="AC361" s="32"/>
      <c r="AD361" s="32"/>
      <c r="AE361" s="32"/>
      <c r="AF361" s="32"/>
      <c r="AG361" s="32"/>
    </row>
    <row r="362" ht="46.5" customHeight="1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  <c r="AA362" s="32"/>
      <c r="AB362" s="32"/>
      <c r="AC362" s="32"/>
      <c r="AD362" s="32"/>
      <c r="AE362" s="32"/>
      <c r="AF362" s="32"/>
      <c r="AG362" s="32"/>
    </row>
    <row r="363" ht="46.5" customHeight="1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2"/>
      <c r="AB363" s="32"/>
      <c r="AC363" s="32"/>
      <c r="AD363" s="32"/>
      <c r="AE363" s="32"/>
      <c r="AF363" s="32"/>
      <c r="AG363" s="32"/>
    </row>
    <row r="364" ht="46.5" customHeight="1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  <c r="AB364" s="32"/>
      <c r="AC364" s="32"/>
      <c r="AD364" s="32"/>
      <c r="AE364" s="32"/>
      <c r="AF364" s="32"/>
      <c r="AG364" s="32"/>
    </row>
    <row r="365" ht="46.5" customHeight="1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  <c r="AB365" s="32"/>
      <c r="AC365" s="32"/>
      <c r="AD365" s="32"/>
      <c r="AE365" s="32"/>
      <c r="AF365" s="32"/>
      <c r="AG365" s="32"/>
    </row>
    <row r="366" ht="46.5" customHeight="1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2"/>
      <c r="AB366" s="32"/>
      <c r="AC366" s="32"/>
      <c r="AD366" s="32"/>
      <c r="AE366" s="32"/>
      <c r="AF366" s="32"/>
      <c r="AG366" s="32"/>
    </row>
    <row r="367" ht="46.5" customHeight="1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2"/>
      <c r="AB367" s="32"/>
      <c r="AC367" s="32"/>
      <c r="AD367" s="32"/>
      <c r="AE367" s="32"/>
      <c r="AF367" s="32"/>
      <c r="AG367" s="32"/>
    </row>
    <row r="368" ht="46.5" customHeight="1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  <c r="AB368" s="32"/>
      <c r="AC368" s="32"/>
      <c r="AD368" s="32"/>
      <c r="AE368" s="32"/>
      <c r="AF368" s="32"/>
      <c r="AG368" s="32"/>
    </row>
    <row r="369" ht="46.5" customHeight="1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2"/>
      <c r="AB369" s="32"/>
      <c r="AC369" s="32"/>
      <c r="AD369" s="32"/>
      <c r="AE369" s="32"/>
      <c r="AF369" s="32"/>
      <c r="AG369" s="32"/>
    </row>
    <row r="370" ht="46.5" customHeight="1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  <c r="AB370" s="32"/>
      <c r="AC370" s="32"/>
      <c r="AD370" s="32"/>
      <c r="AE370" s="32"/>
      <c r="AF370" s="32"/>
      <c r="AG370" s="32"/>
    </row>
    <row r="371" ht="46.5" customHeight="1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  <c r="AB371" s="32"/>
      <c r="AC371" s="32"/>
      <c r="AD371" s="32"/>
      <c r="AE371" s="32"/>
      <c r="AF371" s="32"/>
      <c r="AG371" s="32"/>
    </row>
    <row r="372" ht="46.5" customHeight="1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2"/>
      <c r="AB372" s="32"/>
      <c r="AC372" s="32"/>
      <c r="AD372" s="32"/>
      <c r="AE372" s="32"/>
      <c r="AF372" s="32"/>
      <c r="AG372" s="32"/>
    </row>
    <row r="373" ht="46.5" customHeight="1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  <c r="AB373" s="32"/>
      <c r="AC373" s="32"/>
      <c r="AD373" s="32"/>
      <c r="AE373" s="32"/>
      <c r="AF373" s="32"/>
      <c r="AG373" s="32"/>
    </row>
    <row r="374" ht="46.5" customHeight="1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2"/>
      <c r="AB374" s="32"/>
      <c r="AC374" s="32"/>
      <c r="AD374" s="32"/>
      <c r="AE374" s="32"/>
      <c r="AF374" s="32"/>
      <c r="AG374" s="32"/>
    </row>
    <row r="375" ht="46.5" customHeight="1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2"/>
      <c r="AB375" s="32"/>
      <c r="AC375" s="32"/>
      <c r="AD375" s="32"/>
      <c r="AE375" s="32"/>
      <c r="AF375" s="32"/>
      <c r="AG375" s="32"/>
    </row>
    <row r="376" ht="46.5" customHeight="1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2"/>
      <c r="AB376" s="32"/>
      <c r="AC376" s="32"/>
      <c r="AD376" s="32"/>
      <c r="AE376" s="32"/>
      <c r="AF376" s="32"/>
      <c r="AG376" s="32"/>
    </row>
    <row r="377" ht="46.5" customHeight="1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  <c r="AA377" s="32"/>
      <c r="AB377" s="32"/>
      <c r="AC377" s="32"/>
      <c r="AD377" s="32"/>
      <c r="AE377" s="32"/>
      <c r="AF377" s="32"/>
      <c r="AG377" s="32"/>
    </row>
    <row r="378" ht="46.5" customHeight="1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  <c r="AA378" s="32"/>
      <c r="AB378" s="32"/>
      <c r="AC378" s="32"/>
      <c r="AD378" s="32"/>
      <c r="AE378" s="32"/>
      <c r="AF378" s="32"/>
      <c r="AG378" s="32"/>
    </row>
    <row r="379" ht="46.5" customHeight="1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2"/>
      <c r="AB379" s="32"/>
      <c r="AC379" s="32"/>
      <c r="AD379" s="32"/>
      <c r="AE379" s="32"/>
      <c r="AF379" s="32"/>
      <c r="AG379" s="32"/>
    </row>
    <row r="380" ht="46.5" customHeight="1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2"/>
      <c r="AB380" s="32"/>
      <c r="AC380" s="32"/>
      <c r="AD380" s="32"/>
      <c r="AE380" s="32"/>
      <c r="AF380" s="32"/>
      <c r="AG380" s="32"/>
    </row>
    <row r="381" ht="46.5" customHeight="1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  <c r="AA381" s="32"/>
      <c r="AB381" s="32"/>
      <c r="AC381" s="32"/>
      <c r="AD381" s="32"/>
      <c r="AE381" s="32"/>
      <c r="AF381" s="32"/>
      <c r="AG381" s="32"/>
    </row>
    <row r="382" ht="46.5" customHeight="1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  <c r="AA382" s="32"/>
      <c r="AB382" s="32"/>
      <c r="AC382" s="32"/>
      <c r="AD382" s="32"/>
      <c r="AE382" s="32"/>
      <c r="AF382" s="32"/>
      <c r="AG382" s="32"/>
    </row>
    <row r="383" ht="46.5" customHeight="1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  <c r="AA383" s="32"/>
      <c r="AB383" s="32"/>
      <c r="AC383" s="32"/>
      <c r="AD383" s="32"/>
      <c r="AE383" s="32"/>
      <c r="AF383" s="32"/>
      <c r="AG383" s="32"/>
    </row>
    <row r="384" ht="46.5" customHeight="1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2"/>
      <c r="AB384" s="32"/>
      <c r="AC384" s="32"/>
      <c r="AD384" s="32"/>
      <c r="AE384" s="32"/>
      <c r="AF384" s="32"/>
      <c r="AG384" s="32"/>
    </row>
    <row r="385" ht="46.5" customHeight="1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  <c r="AA385" s="32"/>
      <c r="AB385" s="32"/>
      <c r="AC385" s="32"/>
      <c r="AD385" s="32"/>
      <c r="AE385" s="32"/>
      <c r="AF385" s="32"/>
      <c r="AG385" s="32"/>
    </row>
    <row r="386" ht="46.5" customHeight="1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  <c r="AA386" s="32"/>
      <c r="AB386" s="32"/>
      <c r="AC386" s="32"/>
      <c r="AD386" s="32"/>
      <c r="AE386" s="32"/>
      <c r="AF386" s="32"/>
      <c r="AG386" s="32"/>
    </row>
    <row r="387" ht="46.5" customHeight="1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2"/>
      <c r="AB387" s="32"/>
      <c r="AC387" s="32"/>
      <c r="AD387" s="32"/>
      <c r="AE387" s="32"/>
      <c r="AF387" s="32"/>
      <c r="AG387" s="32"/>
    </row>
    <row r="388" ht="46.5" customHeight="1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2"/>
      <c r="AB388" s="32"/>
      <c r="AC388" s="32"/>
      <c r="AD388" s="32"/>
      <c r="AE388" s="32"/>
      <c r="AF388" s="32"/>
      <c r="AG388" s="32"/>
    </row>
    <row r="389" ht="46.5" customHeight="1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2"/>
      <c r="AB389" s="32"/>
      <c r="AC389" s="32"/>
      <c r="AD389" s="32"/>
      <c r="AE389" s="32"/>
      <c r="AF389" s="32"/>
      <c r="AG389" s="32"/>
    </row>
    <row r="390" ht="46.5" customHeight="1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  <c r="AB390" s="32"/>
      <c r="AC390" s="32"/>
      <c r="AD390" s="32"/>
      <c r="AE390" s="32"/>
      <c r="AF390" s="32"/>
      <c r="AG390" s="32"/>
    </row>
    <row r="391" ht="46.5" customHeight="1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2"/>
      <c r="AB391" s="32"/>
      <c r="AC391" s="32"/>
      <c r="AD391" s="32"/>
      <c r="AE391" s="32"/>
      <c r="AF391" s="32"/>
      <c r="AG391" s="32"/>
    </row>
    <row r="392" ht="46.5" customHeight="1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2"/>
      <c r="AB392" s="32"/>
      <c r="AC392" s="32"/>
      <c r="AD392" s="32"/>
      <c r="AE392" s="32"/>
      <c r="AF392" s="32"/>
      <c r="AG392" s="32"/>
    </row>
    <row r="393" ht="46.5" customHeight="1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2"/>
      <c r="AB393" s="32"/>
      <c r="AC393" s="32"/>
      <c r="AD393" s="32"/>
      <c r="AE393" s="32"/>
      <c r="AF393" s="32"/>
      <c r="AG393" s="32"/>
    </row>
    <row r="394" ht="46.5" customHeight="1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  <c r="AB394" s="32"/>
      <c r="AC394" s="32"/>
      <c r="AD394" s="32"/>
      <c r="AE394" s="32"/>
      <c r="AF394" s="32"/>
      <c r="AG394" s="32"/>
    </row>
    <row r="395" ht="46.5" customHeight="1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  <c r="AB395" s="32"/>
      <c r="AC395" s="32"/>
      <c r="AD395" s="32"/>
      <c r="AE395" s="32"/>
      <c r="AF395" s="32"/>
      <c r="AG395" s="32"/>
    </row>
    <row r="396" ht="46.5" customHeight="1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2"/>
      <c r="AB396" s="32"/>
      <c r="AC396" s="32"/>
      <c r="AD396" s="32"/>
      <c r="AE396" s="32"/>
      <c r="AF396" s="32"/>
      <c r="AG396" s="32"/>
    </row>
    <row r="397" ht="46.5" customHeight="1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  <c r="AB397" s="32"/>
      <c r="AC397" s="32"/>
      <c r="AD397" s="32"/>
      <c r="AE397" s="32"/>
      <c r="AF397" s="32"/>
      <c r="AG397" s="32"/>
    </row>
    <row r="398" ht="46.5" customHeight="1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2"/>
      <c r="AB398" s="32"/>
      <c r="AC398" s="32"/>
      <c r="AD398" s="32"/>
      <c r="AE398" s="32"/>
      <c r="AF398" s="32"/>
      <c r="AG398" s="32"/>
    </row>
    <row r="399" ht="46.5" customHeight="1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2"/>
      <c r="AB399" s="32"/>
      <c r="AC399" s="32"/>
      <c r="AD399" s="32"/>
      <c r="AE399" s="32"/>
      <c r="AF399" s="32"/>
      <c r="AG399" s="32"/>
    </row>
    <row r="400" ht="46.5" customHeight="1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  <c r="AA400" s="32"/>
      <c r="AB400" s="32"/>
      <c r="AC400" s="32"/>
      <c r="AD400" s="32"/>
      <c r="AE400" s="32"/>
      <c r="AF400" s="32"/>
      <c r="AG400" s="32"/>
    </row>
    <row r="401" ht="46.5" customHeight="1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  <c r="AA401" s="32"/>
      <c r="AB401" s="32"/>
      <c r="AC401" s="32"/>
      <c r="AD401" s="32"/>
      <c r="AE401" s="32"/>
      <c r="AF401" s="32"/>
      <c r="AG401" s="32"/>
    </row>
    <row r="402" ht="46.5" customHeight="1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32"/>
      <c r="AB402" s="32"/>
      <c r="AC402" s="32"/>
      <c r="AD402" s="32"/>
      <c r="AE402" s="32"/>
      <c r="AF402" s="32"/>
      <c r="AG402" s="32"/>
    </row>
    <row r="403" ht="46.5" customHeight="1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  <c r="AA403" s="32"/>
      <c r="AB403" s="32"/>
      <c r="AC403" s="32"/>
      <c r="AD403" s="32"/>
      <c r="AE403" s="32"/>
      <c r="AF403" s="32"/>
      <c r="AG403" s="32"/>
    </row>
    <row r="404" ht="46.5" customHeight="1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  <c r="AA404" s="32"/>
      <c r="AB404" s="32"/>
      <c r="AC404" s="32"/>
      <c r="AD404" s="32"/>
      <c r="AE404" s="32"/>
      <c r="AF404" s="32"/>
      <c r="AG404" s="32"/>
    </row>
    <row r="405" ht="46.5" customHeight="1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  <c r="AA405" s="32"/>
      <c r="AB405" s="32"/>
      <c r="AC405" s="32"/>
      <c r="AD405" s="32"/>
      <c r="AE405" s="32"/>
      <c r="AF405" s="32"/>
      <c r="AG405" s="32"/>
    </row>
    <row r="406" ht="46.5" customHeight="1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  <c r="AA406" s="32"/>
      <c r="AB406" s="32"/>
      <c r="AC406" s="32"/>
      <c r="AD406" s="32"/>
      <c r="AE406" s="32"/>
      <c r="AF406" s="32"/>
      <c r="AG406" s="32"/>
    </row>
    <row r="407" ht="46.5" customHeight="1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  <c r="AA407" s="32"/>
      <c r="AB407" s="32"/>
      <c r="AC407" s="32"/>
      <c r="AD407" s="32"/>
      <c r="AE407" s="32"/>
      <c r="AF407" s="32"/>
      <c r="AG407" s="32"/>
    </row>
    <row r="408" ht="46.5" customHeight="1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  <c r="AA408" s="32"/>
      <c r="AB408" s="32"/>
      <c r="AC408" s="32"/>
      <c r="AD408" s="32"/>
      <c r="AE408" s="32"/>
      <c r="AF408" s="32"/>
      <c r="AG408" s="32"/>
    </row>
    <row r="409" ht="46.5" customHeight="1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  <c r="AA409" s="32"/>
      <c r="AB409" s="32"/>
      <c r="AC409" s="32"/>
      <c r="AD409" s="32"/>
      <c r="AE409" s="32"/>
      <c r="AF409" s="32"/>
      <c r="AG409" s="32"/>
    </row>
    <row r="410" ht="46.5" customHeight="1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  <c r="AA410" s="32"/>
      <c r="AB410" s="32"/>
      <c r="AC410" s="32"/>
      <c r="AD410" s="32"/>
      <c r="AE410" s="32"/>
      <c r="AF410" s="32"/>
      <c r="AG410" s="32"/>
    </row>
    <row r="411" ht="46.5" customHeight="1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  <c r="AA411" s="32"/>
      <c r="AB411" s="32"/>
      <c r="AC411" s="32"/>
      <c r="AD411" s="32"/>
      <c r="AE411" s="32"/>
      <c r="AF411" s="32"/>
      <c r="AG411" s="32"/>
    </row>
    <row r="412" ht="46.5" customHeight="1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  <c r="AA412" s="32"/>
      <c r="AB412" s="32"/>
      <c r="AC412" s="32"/>
      <c r="AD412" s="32"/>
      <c r="AE412" s="32"/>
      <c r="AF412" s="32"/>
      <c r="AG412" s="32"/>
    </row>
    <row r="413" ht="46.5" customHeight="1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2"/>
      <c r="AB413" s="32"/>
      <c r="AC413" s="32"/>
      <c r="AD413" s="32"/>
      <c r="AE413" s="32"/>
      <c r="AF413" s="32"/>
      <c r="AG413" s="32"/>
    </row>
    <row r="414" ht="46.5" customHeight="1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2"/>
      <c r="AB414" s="32"/>
      <c r="AC414" s="32"/>
      <c r="AD414" s="32"/>
      <c r="AE414" s="32"/>
      <c r="AF414" s="32"/>
      <c r="AG414" s="32"/>
    </row>
    <row r="415" ht="46.5" customHeight="1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  <c r="AB415" s="32"/>
      <c r="AC415" s="32"/>
      <c r="AD415" s="32"/>
      <c r="AE415" s="32"/>
      <c r="AF415" s="32"/>
      <c r="AG415" s="32"/>
    </row>
    <row r="416" ht="46.5" customHeight="1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2"/>
      <c r="AB416" s="32"/>
      <c r="AC416" s="32"/>
      <c r="AD416" s="32"/>
      <c r="AE416" s="32"/>
      <c r="AF416" s="32"/>
      <c r="AG416" s="32"/>
    </row>
    <row r="417" ht="46.5" customHeight="1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2"/>
      <c r="AB417" s="32"/>
      <c r="AC417" s="32"/>
      <c r="AD417" s="32"/>
      <c r="AE417" s="32"/>
      <c r="AF417" s="32"/>
      <c r="AG417" s="32"/>
    </row>
    <row r="418" ht="46.5" customHeight="1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2"/>
      <c r="AB418" s="32"/>
      <c r="AC418" s="32"/>
      <c r="AD418" s="32"/>
      <c r="AE418" s="32"/>
      <c r="AF418" s="32"/>
      <c r="AG418" s="32"/>
    </row>
    <row r="419" ht="46.5" customHeight="1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2"/>
      <c r="AB419" s="32"/>
      <c r="AC419" s="32"/>
      <c r="AD419" s="32"/>
      <c r="AE419" s="32"/>
      <c r="AF419" s="32"/>
      <c r="AG419" s="32"/>
    </row>
    <row r="420" ht="46.5" customHeight="1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  <c r="AB420" s="32"/>
      <c r="AC420" s="32"/>
      <c r="AD420" s="32"/>
      <c r="AE420" s="32"/>
      <c r="AF420" s="32"/>
      <c r="AG420" s="32"/>
    </row>
    <row r="421" ht="46.5" customHeight="1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  <c r="AB421" s="32"/>
      <c r="AC421" s="32"/>
      <c r="AD421" s="32"/>
      <c r="AE421" s="32"/>
      <c r="AF421" s="32"/>
      <c r="AG421" s="32"/>
    </row>
    <row r="422" ht="46.5" customHeight="1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2"/>
      <c r="AB422" s="32"/>
      <c r="AC422" s="32"/>
      <c r="AD422" s="32"/>
      <c r="AE422" s="32"/>
      <c r="AF422" s="32"/>
      <c r="AG422" s="32"/>
    </row>
    <row r="423" ht="46.5" customHeight="1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2"/>
      <c r="AB423" s="32"/>
      <c r="AC423" s="32"/>
      <c r="AD423" s="32"/>
      <c r="AE423" s="32"/>
      <c r="AF423" s="32"/>
      <c r="AG423" s="32"/>
    </row>
    <row r="424" ht="46.5" customHeight="1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  <c r="AA424" s="32"/>
      <c r="AB424" s="32"/>
      <c r="AC424" s="32"/>
      <c r="AD424" s="32"/>
      <c r="AE424" s="32"/>
      <c r="AF424" s="32"/>
      <c r="AG424" s="32"/>
    </row>
    <row r="425" ht="46.5" customHeight="1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  <c r="AA425" s="32"/>
      <c r="AB425" s="32"/>
      <c r="AC425" s="32"/>
      <c r="AD425" s="32"/>
      <c r="AE425" s="32"/>
      <c r="AF425" s="32"/>
      <c r="AG425" s="32"/>
    </row>
    <row r="426" ht="46.5" customHeight="1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  <c r="AA426" s="32"/>
      <c r="AB426" s="32"/>
      <c r="AC426" s="32"/>
      <c r="AD426" s="32"/>
      <c r="AE426" s="32"/>
      <c r="AF426" s="32"/>
      <c r="AG426" s="32"/>
    </row>
    <row r="427" ht="46.5" customHeight="1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  <c r="AA427" s="32"/>
      <c r="AB427" s="32"/>
      <c r="AC427" s="32"/>
      <c r="AD427" s="32"/>
      <c r="AE427" s="32"/>
      <c r="AF427" s="32"/>
      <c r="AG427" s="32"/>
    </row>
    <row r="428" ht="46.5" customHeight="1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2"/>
      <c r="AB428" s="32"/>
      <c r="AC428" s="32"/>
      <c r="AD428" s="32"/>
      <c r="AE428" s="32"/>
      <c r="AF428" s="32"/>
      <c r="AG428" s="32"/>
    </row>
    <row r="429" ht="46.5" customHeight="1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  <c r="AA429" s="32"/>
      <c r="AB429" s="32"/>
      <c r="AC429" s="32"/>
      <c r="AD429" s="32"/>
      <c r="AE429" s="32"/>
      <c r="AF429" s="32"/>
      <c r="AG429" s="32"/>
    </row>
    <row r="430" ht="46.5" customHeight="1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  <c r="AA430" s="32"/>
      <c r="AB430" s="32"/>
      <c r="AC430" s="32"/>
      <c r="AD430" s="32"/>
      <c r="AE430" s="32"/>
      <c r="AF430" s="32"/>
      <c r="AG430" s="32"/>
    </row>
    <row r="431" ht="46.5" customHeight="1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  <c r="AA431" s="32"/>
      <c r="AB431" s="32"/>
      <c r="AC431" s="32"/>
      <c r="AD431" s="32"/>
      <c r="AE431" s="32"/>
      <c r="AF431" s="32"/>
      <c r="AG431" s="32"/>
    </row>
    <row r="432" ht="46.5" customHeight="1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  <c r="AA432" s="32"/>
      <c r="AB432" s="32"/>
      <c r="AC432" s="32"/>
      <c r="AD432" s="32"/>
      <c r="AE432" s="32"/>
      <c r="AF432" s="32"/>
      <c r="AG432" s="32"/>
    </row>
    <row r="433" ht="46.5" customHeight="1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2"/>
      <c r="AB433" s="32"/>
      <c r="AC433" s="32"/>
      <c r="AD433" s="32"/>
      <c r="AE433" s="32"/>
      <c r="AF433" s="32"/>
      <c r="AG433" s="32"/>
    </row>
    <row r="434" ht="46.5" customHeight="1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  <c r="AA434" s="32"/>
      <c r="AB434" s="32"/>
      <c r="AC434" s="32"/>
      <c r="AD434" s="32"/>
      <c r="AE434" s="32"/>
      <c r="AF434" s="32"/>
      <c r="AG434" s="32"/>
    </row>
    <row r="435" ht="46.5" customHeight="1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  <c r="AA435" s="32"/>
      <c r="AB435" s="32"/>
      <c r="AC435" s="32"/>
      <c r="AD435" s="32"/>
      <c r="AE435" s="32"/>
      <c r="AF435" s="32"/>
      <c r="AG435" s="32"/>
    </row>
    <row r="436" ht="46.5" customHeight="1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2"/>
      <c r="AB436" s="32"/>
      <c r="AC436" s="32"/>
      <c r="AD436" s="32"/>
      <c r="AE436" s="32"/>
      <c r="AF436" s="32"/>
      <c r="AG436" s="32"/>
    </row>
    <row r="437" ht="46.5" customHeight="1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  <c r="AA437" s="32"/>
      <c r="AB437" s="32"/>
      <c r="AC437" s="32"/>
      <c r="AD437" s="32"/>
      <c r="AE437" s="32"/>
      <c r="AF437" s="32"/>
      <c r="AG437" s="32"/>
    </row>
    <row r="438" ht="46.5" customHeight="1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  <c r="AA438" s="32"/>
      <c r="AB438" s="32"/>
      <c r="AC438" s="32"/>
      <c r="AD438" s="32"/>
      <c r="AE438" s="32"/>
      <c r="AF438" s="32"/>
      <c r="AG438" s="32"/>
    </row>
    <row r="439" ht="46.5" customHeight="1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2"/>
      <c r="AB439" s="32"/>
      <c r="AC439" s="32"/>
      <c r="AD439" s="32"/>
      <c r="AE439" s="32"/>
      <c r="AF439" s="32"/>
      <c r="AG439" s="32"/>
    </row>
    <row r="440" ht="46.5" customHeight="1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  <c r="AA440" s="32"/>
      <c r="AB440" s="32"/>
      <c r="AC440" s="32"/>
      <c r="AD440" s="32"/>
      <c r="AE440" s="32"/>
      <c r="AF440" s="32"/>
      <c r="AG440" s="32"/>
    </row>
    <row r="441" ht="46.5" customHeight="1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  <c r="AA441" s="32"/>
      <c r="AB441" s="32"/>
      <c r="AC441" s="32"/>
      <c r="AD441" s="32"/>
      <c r="AE441" s="32"/>
      <c r="AF441" s="32"/>
      <c r="AG441" s="32"/>
    </row>
    <row r="442" ht="46.5" customHeight="1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  <c r="AA442" s="32"/>
      <c r="AB442" s="32"/>
      <c r="AC442" s="32"/>
      <c r="AD442" s="32"/>
      <c r="AE442" s="32"/>
      <c r="AF442" s="32"/>
      <c r="AG442" s="32"/>
    </row>
    <row r="443" ht="46.5" customHeight="1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  <c r="AA443" s="32"/>
      <c r="AB443" s="32"/>
      <c r="AC443" s="32"/>
      <c r="AD443" s="32"/>
      <c r="AE443" s="32"/>
      <c r="AF443" s="32"/>
      <c r="AG443" s="32"/>
    </row>
    <row r="444" ht="46.5" customHeight="1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  <c r="AA444" s="32"/>
      <c r="AB444" s="32"/>
      <c r="AC444" s="32"/>
      <c r="AD444" s="32"/>
      <c r="AE444" s="32"/>
      <c r="AF444" s="32"/>
      <c r="AG444" s="32"/>
    </row>
    <row r="445" ht="46.5" customHeight="1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  <c r="AA445" s="32"/>
      <c r="AB445" s="32"/>
      <c r="AC445" s="32"/>
      <c r="AD445" s="32"/>
      <c r="AE445" s="32"/>
      <c r="AF445" s="32"/>
      <c r="AG445" s="32"/>
    </row>
    <row r="446" ht="46.5" customHeight="1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  <c r="AA446" s="32"/>
      <c r="AB446" s="32"/>
      <c r="AC446" s="32"/>
      <c r="AD446" s="32"/>
      <c r="AE446" s="32"/>
      <c r="AF446" s="32"/>
      <c r="AG446" s="32"/>
    </row>
    <row r="447" ht="46.5" customHeight="1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  <c r="AA447" s="32"/>
      <c r="AB447" s="32"/>
      <c r="AC447" s="32"/>
      <c r="AD447" s="32"/>
      <c r="AE447" s="32"/>
      <c r="AF447" s="32"/>
      <c r="AG447" s="32"/>
    </row>
    <row r="448" ht="46.5" customHeight="1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  <c r="AA448" s="32"/>
      <c r="AB448" s="32"/>
      <c r="AC448" s="32"/>
      <c r="AD448" s="32"/>
      <c r="AE448" s="32"/>
      <c r="AF448" s="32"/>
      <c r="AG448" s="32"/>
    </row>
    <row r="449" ht="46.5" customHeight="1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  <c r="AA449" s="32"/>
      <c r="AB449" s="32"/>
      <c r="AC449" s="32"/>
      <c r="AD449" s="32"/>
      <c r="AE449" s="32"/>
      <c r="AF449" s="32"/>
      <c r="AG449" s="32"/>
    </row>
    <row r="450" ht="46.5" customHeight="1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  <c r="AA450" s="32"/>
      <c r="AB450" s="32"/>
      <c r="AC450" s="32"/>
      <c r="AD450" s="32"/>
      <c r="AE450" s="32"/>
      <c r="AF450" s="32"/>
      <c r="AG450" s="32"/>
    </row>
    <row r="451" ht="46.5" customHeight="1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  <c r="AA451" s="32"/>
      <c r="AB451" s="32"/>
      <c r="AC451" s="32"/>
      <c r="AD451" s="32"/>
      <c r="AE451" s="32"/>
      <c r="AF451" s="32"/>
      <c r="AG451" s="32"/>
    </row>
    <row r="452" ht="46.5" customHeight="1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  <c r="AA452" s="32"/>
      <c r="AB452" s="32"/>
      <c r="AC452" s="32"/>
      <c r="AD452" s="32"/>
      <c r="AE452" s="32"/>
      <c r="AF452" s="32"/>
      <c r="AG452" s="32"/>
    </row>
    <row r="453" ht="46.5" customHeight="1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  <c r="AA453" s="32"/>
      <c r="AB453" s="32"/>
      <c r="AC453" s="32"/>
      <c r="AD453" s="32"/>
      <c r="AE453" s="32"/>
      <c r="AF453" s="32"/>
      <c r="AG453" s="32"/>
    </row>
    <row r="454" ht="46.5" customHeight="1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  <c r="AA454" s="32"/>
      <c r="AB454" s="32"/>
      <c r="AC454" s="32"/>
      <c r="AD454" s="32"/>
      <c r="AE454" s="32"/>
      <c r="AF454" s="32"/>
      <c r="AG454" s="32"/>
    </row>
    <row r="455" ht="46.5" customHeight="1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  <c r="AA455" s="32"/>
      <c r="AB455" s="32"/>
      <c r="AC455" s="32"/>
      <c r="AD455" s="32"/>
      <c r="AE455" s="32"/>
      <c r="AF455" s="32"/>
      <c r="AG455" s="32"/>
    </row>
    <row r="456" ht="46.5" customHeight="1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  <c r="AA456" s="32"/>
      <c r="AB456" s="32"/>
      <c r="AC456" s="32"/>
      <c r="AD456" s="32"/>
      <c r="AE456" s="32"/>
      <c r="AF456" s="32"/>
      <c r="AG456" s="32"/>
    </row>
    <row r="457" ht="46.5" customHeight="1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  <c r="AA457" s="32"/>
      <c r="AB457" s="32"/>
      <c r="AC457" s="32"/>
      <c r="AD457" s="32"/>
      <c r="AE457" s="32"/>
      <c r="AF457" s="32"/>
      <c r="AG457" s="32"/>
    </row>
    <row r="458" ht="46.5" customHeight="1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  <c r="AA458" s="32"/>
      <c r="AB458" s="32"/>
      <c r="AC458" s="32"/>
      <c r="AD458" s="32"/>
      <c r="AE458" s="32"/>
      <c r="AF458" s="32"/>
      <c r="AG458" s="32"/>
    </row>
    <row r="459" ht="46.5" customHeight="1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2"/>
      <c r="AB459" s="32"/>
      <c r="AC459" s="32"/>
      <c r="AD459" s="32"/>
      <c r="AE459" s="32"/>
      <c r="AF459" s="32"/>
      <c r="AG459" s="32"/>
    </row>
    <row r="460" ht="46.5" customHeight="1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A460" s="32"/>
      <c r="AB460" s="32"/>
      <c r="AC460" s="32"/>
      <c r="AD460" s="32"/>
      <c r="AE460" s="32"/>
      <c r="AF460" s="32"/>
      <c r="AG460" s="32"/>
    </row>
    <row r="461" ht="46.5" customHeight="1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2"/>
      <c r="AB461" s="32"/>
      <c r="AC461" s="32"/>
      <c r="AD461" s="32"/>
      <c r="AE461" s="32"/>
      <c r="AF461" s="32"/>
      <c r="AG461" s="32"/>
    </row>
    <row r="462" ht="46.5" customHeight="1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  <c r="AA462" s="32"/>
      <c r="AB462" s="32"/>
      <c r="AC462" s="32"/>
      <c r="AD462" s="32"/>
      <c r="AE462" s="32"/>
      <c r="AF462" s="32"/>
      <c r="AG462" s="32"/>
    </row>
    <row r="463" ht="46.5" customHeight="1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  <c r="AA463" s="32"/>
      <c r="AB463" s="32"/>
      <c r="AC463" s="32"/>
      <c r="AD463" s="32"/>
      <c r="AE463" s="32"/>
      <c r="AF463" s="32"/>
      <c r="AG463" s="32"/>
    </row>
    <row r="464" ht="46.5" customHeight="1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  <c r="AA464" s="32"/>
      <c r="AB464" s="32"/>
      <c r="AC464" s="32"/>
      <c r="AD464" s="32"/>
      <c r="AE464" s="32"/>
      <c r="AF464" s="32"/>
      <c r="AG464" s="32"/>
    </row>
    <row r="465" ht="46.5" customHeight="1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  <c r="AA465" s="32"/>
      <c r="AB465" s="32"/>
      <c r="AC465" s="32"/>
      <c r="AD465" s="32"/>
      <c r="AE465" s="32"/>
      <c r="AF465" s="32"/>
      <c r="AG465" s="32"/>
    </row>
    <row r="466" ht="46.5" customHeight="1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  <c r="AA466" s="32"/>
      <c r="AB466" s="32"/>
      <c r="AC466" s="32"/>
      <c r="AD466" s="32"/>
      <c r="AE466" s="32"/>
      <c r="AF466" s="32"/>
      <c r="AG466" s="32"/>
    </row>
    <row r="467" ht="46.5" customHeight="1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  <c r="AA467" s="32"/>
      <c r="AB467" s="32"/>
      <c r="AC467" s="32"/>
      <c r="AD467" s="32"/>
      <c r="AE467" s="32"/>
      <c r="AF467" s="32"/>
      <c r="AG467" s="32"/>
    </row>
    <row r="468" ht="46.5" customHeight="1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  <c r="AA468" s="32"/>
      <c r="AB468" s="32"/>
      <c r="AC468" s="32"/>
      <c r="AD468" s="32"/>
      <c r="AE468" s="32"/>
      <c r="AF468" s="32"/>
      <c r="AG468" s="32"/>
    </row>
    <row r="469" ht="46.5" customHeight="1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  <c r="AA469" s="32"/>
      <c r="AB469" s="32"/>
      <c r="AC469" s="32"/>
      <c r="AD469" s="32"/>
      <c r="AE469" s="32"/>
      <c r="AF469" s="32"/>
      <c r="AG469" s="32"/>
    </row>
    <row r="470" ht="46.5" customHeight="1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  <c r="AA470" s="32"/>
      <c r="AB470" s="32"/>
      <c r="AC470" s="32"/>
      <c r="AD470" s="32"/>
      <c r="AE470" s="32"/>
      <c r="AF470" s="32"/>
      <c r="AG470" s="32"/>
    </row>
    <row r="471" ht="46.5" customHeight="1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  <c r="AA471" s="32"/>
      <c r="AB471" s="32"/>
      <c r="AC471" s="32"/>
      <c r="AD471" s="32"/>
      <c r="AE471" s="32"/>
      <c r="AF471" s="32"/>
      <c r="AG471" s="32"/>
    </row>
    <row r="472" ht="46.5" customHeight="1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  <c r="AA472" s="32"/>
      <c r="AB472" s="32"/>
      <c r="AC472" s="32"/>
      <c r="AD472" s="32"/>
      <c r="AE472" s="32"/>
      <c r="AF472" s="32"/>
      <c r="AG472" s="32"/>
    </row>
    <row r="473" ht="46.5" customHeight="1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  <c r="AA473" s="32"/>
      <c r="AB473" s="32"/>
      <c r="AC473" s="32"/>
      <c r="AD473" s="32"/>
      <c r="AE473" s="32"/>
      <c r="AF473" s="32"/>
      <c r="AG473" s="32"/>
    </row>
    <row r="474" ht="46.5" customHeight="1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  <c r="AA474" s="32"/>
      <c r="AB474" s="32"/>
      <c r="AC474" s="32"/>
      <c r="AD474" s="32"/>
      <c r="AE474" s="32"/>
      <c r="AF474" s="32"/>
      <c r="AG474" s="32"/>
    </row>
    <row r="475" ht="46.5" customHeight="1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  <c r="AA475" s="32"/>
      <c r="AB475" s="32"/>
      <c r="AC475" s="32"/>
      <c r="AD475" s="32"/>
      <c r="AE475" s="32"/>
      <c r="AF475" s="32"/>
      <c r="AG475" s="32"/>
    </row>
    <row r="476" ht="46.5" customHeight="1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  <c r="AA476" s="32"/>
      <c r="AB476" s="32"/>
      <c r="AC476" s="32"/>
      <c r="AD476" s="32"/>
      <c r="AE476" s="32"/>
      <c r="AF476" s="32"/>
      <c r="AG476" s="32"/>
    </row>
    <row r="477" ht="46.5" customHeight="1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  <c r="AA477" s="32"/>
      <c r="AB477" s="32"/>
      <c r="AC477" s="32"/>
      <c r="AD477" s="32"/>
      <c r="AE477" s="32"/>
      <c r="AF477" s="32"/>
      <c r="AG477" s="32"/>
    </row>
    <row r="478" ht="46.5" customHeight="1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  <c r="AA478" s="32"/>
      <c r="AB478" s="32"/>
      <c r="AC478" s="32"/>
      <c r="AD478" s="32"/>
      <c r="AE478" s="32"/>
      <c r="AF478" s="32"/>
      <c r="AG478" s="32"/>
    </row>
    <row r="479" ht="46.5" customHeight="1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  <c r="AA479" s="32"/>
      <c r="AB479" s="32"/>
      <c r="AC479" s="32"/>
      <c r="AD479" s="32"/>
      <c r="AE479" s="32"/>
      <c r="AF479" s="32"/>
      <c r="AG479" s="32"/>
    </row>
    <row r="480" ht="46.5" customHeight="1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  <c r="AA480" s="32"/>
      <c r="AB480" s="32"/>
      <c r="AC480" s="32"/>
      <c r="AD480" s="32"/>
      <c r="AE480" s="32"/>
      <c r="AF480" s="32"/>
      <c r="AG480" s="32"/>
    </row>
    <row r="481" ht="46.5" customHeight="1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  <c r="AA481" s="32"/>
      <c r="AB481" s="32"/>
      <c r="AC481" s="32"/>
      <c r="AD481" s="32"/>
      <c r="AE481" s="32"/>
      <c r="AF481" s="32"/>
      <c r="AG481" s="32"/>
    </row>
    <row r="482" ht="46.5" customHeight="1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  <c r="AA482" s="32"/>
      <c r="AB482" s="32"/>
      <c r="AC482" s="32"/>
      <c r="AD482" s="32"/>
      <c r="AE482" s="32"/>
      <c r="AF482" s="32"/>
      <c r="AG482" s="32"/>
    </row>
    <row r="483" ht="46.5" customHeight="1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  <c r="AA483" s="32"/>
      <c r="AB483" s="32"/>
      <c r="AC483" s="32"/>
      <c r="AD483" s="32"/>
      <c r="AE483" s="32"/>
      <c r="AF483" s="32"/>
      <c r="AG483" s="32"/>
    </row>
    <row r="484" ht="46.5" customHeight="1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  <c r="AA484" s="32"/>
      <c r="AB484" s="32"/>
      <c r="AC484" s="32"/>
      <c r="AD484" s="32"/>
      <c r="AE484" s="32"/>
      <c r="AF484" s="32"/>
      <c r="AG484" s="32"/>
    </row>
    <row r="485" ht="46.5" customHeight="1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2"/>
      <c r="AB485" s="32"/>
      <c r="AC485" s="32"/>
      <c r="AD485" s="32"/>
      <c r="AE485" s="32"/>
      <c r="AF485" s="32"/>
      <c r="AG485" s="32"/>
    </row>
    <row r="486" ht="46.5" customHeight="1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  <c r="AA486" s="32"/>
      <c r="AB486" s="32"/>
      <c r="AC486" s="32"/>
      <c r="AD486" s="32"/>
      <c r="AE486" s="32"/>
      <c r="AF486" s="32"/>
      <c r="AG486" s="32"/>
    </row>
    <row r="487" ht="46.5" customHeight="1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  <c r="AA487" s="32"/>
      <c r="AB487" s="32"/>
      <c r="AC487" s="32"/>
      <c r="AD487" s="32"/>
      <c r="AE487" s="32"/>
      <c r="AF487" s="32"/>
      <c r="AG487" s="32"/>
    </row>
    <row r="488" ht="46.5" customHeight="1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  <c r="AA488" s="32"/>
      <c r="AB488" s="32"/>
      <c r="AC488" s="32"/>
      <c r="AD488" s="32"/>
      <c r="AE488" s="32"/>
      <c r="AF488" s="32"/>
      <c r="AG488" s="32"/>
    </row>
    <row r="489" ht="46.5" customHeight="1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  <c r="AA489" s="32"/>
      <c r="AB489" s="32"/>
      <c r="AC489" s="32"/>
      <c r="AD489" s="32"/>
      <c r="AE489" s="32"/>
      <c r="AF489" s="32"/>
      <c r="AG489" s="32"/>
    </row>
    <row r="490" ht="46.5" customHeight="1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  <c r="AA490" s="32"/>
      <c r="AB490" s="32"/>
      <c r="AC490" s="32"/>
      <c r="AD490" s="32"/>
      <c r="AE490" s="32"/>
      <c r="AF490" s="32"/>
      <c r="AG490" s="32"/>
    </row>
    <row r="491" ht="46.5" customHeight="1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  <c r="AA491" s="32"/>
      <c r="AB491" s="32"/>
      <c r="AC491" s="32"/>
      <c r="AD491" s="32"/>
      <c r="AE491" s="32"/>
      <c r="AF491" s="32"/>
      <c r="AG491" s="32"/>
    </row>
    <row r="492" ht="46.5" customHeight="1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  <c r="AA492" s="32"/>
      <c r="AB492" s="32"/>
      <c r="AC492" s="32"/>
      <c r="AD492" s="32"/>
      <c r="AE492" s="32"/>
      <c r="AF492" s="32"/>
      <c r="AG492" s="32"/>
    </row>
    <row r="493" ht="46.5" customHeight="1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A493" s="32"/>
      <c r="AB493" s="32"/>
      <c r="AC493" s="32"/>
      <c r="AD493" s="32"/>
      <c r="AE493" s="32"/>
      <c r="AF493" s="32"/>
      <c r="AG493" s="32"/>
    </row>
    <row r="494" ht="46.5" customHeight="1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  <c r="AA494" s="32"/>
      <c r="AB494" s="32"/>
      <c r="AC494" s="32"/>
      <c r="AD494" s="32"/>
      <c r="AE494" s="32"/>
      <c r="AF494" s="32"/>
      <c r="AG494" s="32"/>
    </row>
    <row r="495" ht="46.5" customHeight="1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  <c r="AA495" s="32"/>
      <c r="AB495" s="32"/>
      <c r="AC495" s="32"/>
      <c r="AD495" s="32"/>
      <c r="AE495" s="32"/>
      <c r="AF495" s="32"/>
      <c r="AG495" s="32"/>
    </row>
    <row r="496" ht="46.5" customHeight="1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  <c r="AA496" s="32"/>
      <c r="AB496" s="32"/>
      <c r="AC496" s="32"/>
      <c r="AD496" s="32"/>
      <c r="AE496" s="32"/>
      <c r="AF496" s="32"/>
      <c r="AG496" s="32"/>
    </row>
    <row r="497" ht="46.5" customHeight="1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  <c r="AA497" s="32"/>
      <c r="AB497" s="32"/>
      <c r="AC497" s="32"/>
      <c r="AD497" s="32"/>
      <c r="AE497" s="32"/>
      <c r="AF497" s="32"/>
      <c r="AG497" s="32"/>
    </row>
    <row r="498" ht="46.5" customHeight="1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  <c r="AA498" s="32"/>
      <c r="AB498" s="32"/>
      <c r="AC498" s="32"/>
      <c r="AD498" s="32"/>
      <c r="AE498" s="32"/>
      <c r="AF498" s="32"/>
      <c r="AG498" s="32"/>
    </row>
    <row r="499" ht="46.5" customHeight="1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  <c r="AA499" s="32"/>
      <c r="AB499" s="32"/>
      <c r="AC499" s="32"/>
      <c r="AD499" s="32"/>
      <c r="AE499" s="32"/>
      <c r="AF499" s="32"/>
      <c r="AG499" s="32"/>
    </row>
    <row r="500" ht="46.5" customHeight="1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  <c r="AA500" s="32"/>
      <c r="AB500" s="32"/>
      <c r="AC500" s="32"/>
      <c r="AD500" s="32"/>
      <c r="AE500" s="32"/>
      <c r="AF500" s="32"/>
      <c r="AG500" s="32"/>
    </row>
    <row r="501" ht="46.5" customHeight="1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  <c r="AA501" s="32"/>
      <c r="AB501" s="32"/>
      <c r="AC501" s="32"/>
      <c r="AD501" s="32"/>
      <c r="AE501" s="32"/>
      <c r="AF501" s="32"/>
      <c r="AG501" s="32"/>
    </row>
    <row r="502" ht="46.5" customHeight="1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  <c r="AA502" s="32"/>
      <c r="AB502" s="32"/>
      <c r="AC502" s="32"/>
      <c r="AD502" s="32"/>
      <c r="AE502" s="32"/>
      <c r="AF502" s="32"/>
      <c r="AG502" s="32"/>
    </row>
    <row r="503" ht="46.5" customHeight="1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2"/>
      <c r="AB503" s="32"/>
      <c r="AC503" s="32"/>
      <c r="AD503" s="32"/>
      <c r="AE503" s="32"/>
      <c r="AF503" s="32"/>
      <c r="AG503" s="32"/>
    </row>
    <row r="504" ht="46.5" customHeight="1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  <c r="AA504" s="32"/>
      <c r="AB504" s="32"/>
      <c r="AC504" s="32"/>
      <c r="AD504" s="32"/>
      <c r="AE504" s="32"/>
      <c r="AF504" s="32"/>
      <c r="AG504" s="32"/>
    </row>
    <row r="505" ht="46.5" customHeight="1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  <c r="AA505" s="32"/>
      <c r="AB505" s="32"/>
      <c r="AC505" s="32"/>
      <c r="AD505" s="32"/>
      <c r="AE505" s="32"/>
      <c r="AF505" s="32"/>
      <c r="AG505" s="32"/>
    </row>
    <row r="506" ht="46.5" customHeight="1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  <c r="AA506" s="32"/>
      <c r="AB506" s="32"/>
      <c r="AC506" s="32"/>
      <c r="AD506" s="32"/>
      <c r="AE506" s="32"/>
      <c r="AF506" s="32"/>
      <c r="AG506" s="32"/>
    </row>
    <row r="507" ht="46.5" customHeight="1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  <c r="AA507" s="32"/>
      <c r="AB507" s="32"/>
      <c r="AC507" s="32"/>
      <c r="AD507" s="32"/>
      <c r="AE507" s="32"/>
      <c r="AF507" s="32"/>
      <c r="AG507" s="32"/>
    </row>
    <row r="508" ht="46.5" customHeight="1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  <c r="AA508" s="32"/>
      <c r="AB508" s="32"/>
      <c r="AC508" s="32"/>
      <c r="AD508" s="32"/>
      <c r="AE508" s="32"/>
      <c r="AF508" s="32"/>
      <c r="AG508" s="32"/>
    </row>
    <row r="509" ht="46.5" customHeight="1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  <c r="AA509" s="32"/>
      <c r="AB509" s="32"/>
      <c r="AC509" s="32"/>
      <c r="AD509" s="32"/>
      <c r="AE509" s="32"/>
      <c r="AF509" s="32"/>
      <c r="AG509" s="32"/>
    </row>
    <row r="510" ht="46.5" customHeight="1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2"/>
      <c r="AB510" s="32"/>
      <c r="AC510" s="32"/>
      <c r="AD510" s="32"/>
      <c r="AE510" s="32"/>
      <c r="AF510" s="32"/>
      <c r="AG510" s="32"/>
    </row>
    <row r="511" ht="46.5" customHeight="1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2"/>
      <c r="AB511" s="32"/>
      <c r="AC511" s="32"/>
      <c r="AD511" s="32"/>
      <c r="AE511" s="32"/>
      <c r="AF511" s="32"/>
      <c r="AG511" s="32"/>
    </row>
    <row r="512" ht="46.5" customHeight="1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  <c r="AA512" s="32"/>
      <c r="AB512" s="32"/>
      <c r="AC512" s="32"/>
      <c r="AD512" s="32"/>
      <c r="AE512" s="32"/>
      <c r="AF512" s="32"/>
      <c r="AG512" s="32"/>
    </row>
    <row r="513" ht="46.5" customHeight="1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  <c r="AA513" s="32"/>
      <c r="AB513" s="32"/>
      <c r="AC513" s="32"/>
      <c r="AD513" s="32"/>
      <c r="AE513" s="32"/>
      <c r="AF513" s="32"/>
      <c r="AG513" s="32"/>
    </row>
    <row r="514" ht="46.5" customHeight="1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  <c r="AA514" s="32"/>
      <c r="AB514" s="32"/>
      <c r="AC514" s="32"/>
      <c r="AD514" s="32"/>
      <c r="AE514" s="32"/>
      <c r="AF514" s="32"/>
      <c r="AG514" s="32"/>
    </row>
    <row r="515" ht="46.5" customHeight="1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  <c r="AA515" s="32"/>
      <c r="AB515" s="32"/>
      <c r="AC515" s="32"/>
      <c r="AD515" s="32"/>
      <c r="AE515" s="32"/>
      <c r="AF515" s="32"/>
      <c r="AG515" s="32"/>
    </row>
    <row r="516" ht="46.5" customHeight="1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  <c r="AA516" s="32"/>
      <c r="AB516" s="32"/>
      <c r="AC516" s="32"/>
      <c r="AD516" s="32"/>
      <c r="AE516" s="32"/>
      <c r="AF516" s="32"/>
      <c r="AG516" s="32"/>
    </row>
    <row r="517" ht="46.5" customHeight="1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  <c r="AA517" s="32"/>
      <c r="AB517" s="32"/>
      <c r="AC517" s="32"/>
      <c r="AD517" s="32"/>
      <c r="AE517" s="32"/>
      <c r="AF517" s="32"/>
      <c r="AG517" s="32"/>
    </row>
    <row r="518" ht="46.5" customHeight="1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2"/>
      <c r="AB518" s="32"/>
      <c r="AC518" s="32"/>
      <c r="AD518" s="32"/>
      <c r="AE518" s="32"/>
      <c r="AF518" s="32"/>
      <c r="AG518" s="32"/>
    </row>
    <row r="519" ht="46.5" customHeight="1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  <c r="AA519" s="32"/>
      <c r="AB519" s="32"/>
      <c r="AC519" s="32"/>
      <c r="AD519" s="32"/>
      <c r="AE519" s="32"/>
      <c r="AF519" s="32"/>
      <c r="AG519" s="32"/>
    </row>
    <row r="520" ht="46.5" customHeight="1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  <c r="AA520" s="32"/>
      <c r="AB520" s="32"/>
      <c r="AC520" s="32"/>
      <c r="AD520" s="32"/>
      <c r="AE520" s="32"/>
      <c r="AF520" s="32"/>
      <c r="AG520" s="32"/>
    </row>
    <row r="521" ht="46.5" customHeight="1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  <c r="AA521" s="32"/>
      <c r="AB521" s="32"/>
      <c r="AC521" s="32"/>
      <c r="AD521" s="32"/>
      <c r="AE521" s="32"/>
      <c r="AF521" s="32"/>
      <c r="AG521" s="32"/>
    </row>
    <row r="522" ht="46.5" customHeight="1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  <c r="AA522" s="32"/>
      <c r="AB522" s="32"/>
      <c r="AC522" s="32"/>
      <c r="AD522" s="32"/>
      <c r="AE522" s="32"/>
      <c r="AF522" s="32"/>
      <c r="AG522" s="32"/>
    </row>
    <row r="523" ht="46.5" customHeight="1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  <c r="AA523" s="32"/>
      <c r="AB523" s="32"/>
      <c r="AC523" s="32"/>
      <c r="AD523" s="32"/>
      <c r="AE523" s="32"/>
      <c r="AF523" s="32"/>
      <c r="AG523" s="32"/>
    </row>
    <row r="524" ht="46.5" customHeight="1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  <c r="AA524" s="32"/>
      <c r="AB524" s="32"/>
      <c r="AC524" s="32"/>
      <c r="AD524" s="32"/>
      <c r="AE524" s="32"/>
      <c r="AF524" s="32"/>
      <c r="AG524" s="32"/>
    </row>
    <row r="525" ht="46.5" customHeight="1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  <c r="AA525" s="32"/>
      <c r="AB525" s="32"/>
      <c r="AC525" s="32"/>
      <c r="AD525" s="32"/>
      <c r="AE525" s="32"/>
      <c r="AF525" s="32"/>
      <c r="AG525" s="32"/>
    </row>
    <row r="526" ht="46.5" customHeight="1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  <c r="AA526" s="32"/>
      <c r="AB526" s="32"/>
      <c r="AC526" s="32"/>
      <c r="AD526" s="32"/>
      <c r="AE526" s="32"/>
      <c r="AF526" s="32"/>
      <c r="AG526" s="32"/>
    </row>
    <row r="527" ht="46.5" customHeight="1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  <c r="AA527" s="32"/>
      <c r="AB527" s="32"/>
      <c r="AC527" s="32"/>
      <c r="AD527" s="32"/>
      <c r="AE527" s="32"/>
      <c r="AF527" s="32"/>
      <c r="AG527" s="32"/>
    </row>
    <row r="528" ht="46.5" customHeight="1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  <c r="AA528" s="32"/>
      <c r="AB528" s="32"/>
      <c r="AC528" s="32"/>
      <c r="AD528" s="32"/>
      <c r="AE528" s="32"/>
      <c r="AF528" s="32"/>
      <c r="AG528" s="32"/>
    </row>
    <row r="529" ht="46.5" customHeight="1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  <c r="AA529" s="32"/>
      <c r="AB529" s="32"/>
      <c r="AC529" s="32"/>
      <c r="AD529" s="32"/>
      <c r="AE529" s="32"/>
      <c r="AF529" s="32"/>
      <c r="AG529" s="32"/>
    </row>
    <row r="530" ht="46.5" customHeight="1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  <c r="AA530" s="32"/>
      <c r="AB530" s="32"/>
      <c r="AC530" s="32"/>
      <c r="AD530" s="32"/>
      <c r="AE530" s="32"/>
      <c r="AF530" s="32"/>
      <c r="AG530" s="32"/>
    </row>
    <row r="531" ht="46.5" customHeight="1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  <c r="AA531" s="32"/>
      <c r="AB531" s="32"/>
      <c r="AC531" s="32"/>
      <c r="AD531" s="32"/>
      <c r="AE531" s="32"/>
      <c r="AF531" s="32"/>
      <c r="AG531" s="32"/>
    </row>
    <row r="532" ht="46.5" customHeight="1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  <c r="AA532" s="32"/>
      <c r="AB532" s="32"/>
      <c r="AC532" s="32"/>
      <c r="AD532" s="32"/>
      <c r="AE532" s="32"/>
      <c r="AF532" s="32"/>
      <c r="AG532" s="32"/>
    </row>
    <row r="533" ht="46.5" customHeight="1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  <c r="AA533" s="32"/>
      <c r="AB533" s="32"/>
      <c r="AC533" s="32"/>
      <c r="AD533" s="32"/>
      <c r="AE533" s="32"/>
      <c r="AF533" s="32"/>
      <c r="AG533" s="32"/>
    </row>
    <row r="534" ht="46.5" customHeight="1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  <c r="AA534" s="32"/>
      <c r="AB534" s="32"/>
      <c r="AC534" s="32"/>
      <c r="AD534" s="32"/>
      <c r="AE534" s="32"/>
      <c r="AF534" s="32"/>
      <c r="AG534" s="32"/>
    </row>
    <row r="535" ht="46.5" customHeight="1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  <c r="AA535" s="32"/>
      <c r="AB535" s="32"/>
      <c r="AC535" s="32"/>
      <c r="AD535" s="32"/>
      <c r="AE535" s="32"/>
      <c r="AF535" s="32"/>
      <c r="AG535" s="32"/>
    </row>
    <row r="536" ht="46.5" customHeight="1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  <c r="AA536" s="32"/>
      <c r="AB536" s="32"/>
      <c r="AC536" s="32"/>
      <c r="AD536" s="32"/>
      <c r="AE536" s="32"/>
      <c r="AF536" s="32"/>
      <c r="AG536" s="32"/>
    </row>
    <row r="537" ht="46.5" customHeight="1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  <c r="AA537" s="32"/>
      <c r="AB537" s="32"/>
      <c r="AC537" s="32"/>
      <c r="AD537" s="32"/>
      <c r="AE537" s="32"/>
      <c r="AF537" s="32"/>
      <c r="AG537" s="32"/>
    </row>
    <row r="538" ht="46.5" customHeight="1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  <c r="AA538" s="32"/>
      <c r="AB538" s="32"/>
      <c r="AC538" s="32"/>
      <c r="AD538" s="32"/>
      <c r="AE538" s="32"/>
      <c r="AF538" s="32"/>
      <c r="AG538" s="32"/>
    </row>
    <row r="539" ht="46.5" customHeight="1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  <c r="AA539" s="32"/>
      <c r="AB539" s="32"/>
      <c r="AC539" s="32"/>
      <c r="AD539" s="32"/>
      <c r="AE539" s="32"/>
      <c r="AF539" s="32"/>
      <c r="AG539" s="32"/>
    </row>
    <row r="540" ht="46.5" customHeight="1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  <c r="AA540" s="32"/>
      <c r="AB540" s="32"/>
      <c r="AC540" s="32"/>
      <c r="AD540" s="32"/>
      <c r="AE540" s="32"/>
      <c r="AF540" s="32"/>
      <c r="AG540" s="32"/>
    </row>
    <row r="541" ht="46.5" customHeight="1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  <c r="AA541" s="32"/>
      <c r="AB541" s="32"/>
      <c r="AC541" s="32"/>
      <c r="AD541" s="32"/>
      <c r="AE541" s="32"/>
      <c r="AF541" s="32"/>
      <c r="AG541" s="32"/>
    </row>
    <row r="542" ht="46.5" customHeight="1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  <c r="AA542" s="32"/>
      <c r="AB542" s="32"/>
      <c r="AC542" s="32"/>
      <c r="AD542" s="32"/>
      <c r="AE542" s="32"/>
      <c r="AF542" s="32"/>
      <c r="AG542" s="32"/>
    </row>
    <row r="543" ht="46.5" customHeight="1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  <c r="AA543" s="32"/>
      <c r="AB543" s="32"/>
      <c r="AC543" s="32"/>
      <c r="AD543" s="32"/>
      <c r="AE543" s="32"/>
      <c r="AF543" s="32"/>
      <c r="AG543" s="32"/>
    </row>
    <row r="544" ht="46.5" customHeight="1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  <c r="AA544" s="32"/>
      <c r="AB544" s="32"/>
      <c r="AC544" s="32"/>
      <c r="AD544" s="32"/>
      <c r="AE544" s="32"/>
      <c r="AF544" s="32"/>
      <c r="AG544" s="32"/>
    </row>
    <row r="545" ht="46.5" customHeight="1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  <c r="AA545" s="32"/>
      <c r="AB545" s="32"/>
      <c r="AC545" s="32"/>
      <c r="AD545" s="32"/>
      <c r="AE545" s="32"/>
      <c r="AF545" s="32"/>
      <c r="AG545" s="32"/>
    </row>
    <row r="546" ht="46.5" customHeight="1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  <c r="AA546" s="32"/>
      <c r="AB546" s="32"/>
      <c r="AC546" s="32"/>
      <c r="AD546" s="32"/>
      <c r="AE546" s="32"/>
      <c r="AF546" s="32"/>
      <c r="AG546" s="32"/>
    </row>
    <row r="547" ht="46.5" customHeight="1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  <c r="AA547" s="32"/>
      <c r="AB547" s="32"/>
      <c r="AC547" s="32"/>
      <c r="AD547" s="32"/>
      <c r="AE547" s="32"/>
      <c r="AF547" s="32"/>
      <c r="AG547" s="32"/>
    </row>
    <row r="548" ht="46.5" customHeight="1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  <c r="AA548" s="32"/>
      <c r="AB548" s="32"/>
      <c r="AC548" s="32"/>
      <c r="AD548" s="32"/>
      <c r="AE548" s="32"/>
      <c r="AF548" s="32"/>
      <c r="AG548" s="32"/>
    </row>
    <row r="549" ht="46.5" customHeight="1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  <c r="AA549" s="32"/>
      <c r="AB549" s="32"/>
      <c r="AC549" s="32"/>
      <c r="AD549" s="32"/>
      <c r="AE549" s="32"/>
      <c r="AF549" s="32"/>
      <c r="AG549" s="32"/>
    </row>
    <row r="550" ht="46.5" customHeight="1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  <c r="AA550" s="32"/>
      <c r="AB550" s="32"/>
      <c r="AC550" s="32"/>
      <c r="AD550" s="32"/>
      <c r="AE550" s="32"/>
      <c r="AF550" s="32"/>
      <c r="AG550" s="32"/>
    </row>
    <row r="551" ht="46.5" customHeight="1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  <c r="AA551" s="32"/>
      <c r="AB551" s="32"/>
      <c r="AC551" s="32"/>
      <c r="AD551" s="32"/>
      <c r="AE551" s="32"/>
      <c r="AF551" s="32"/>
      <c r="AG551" s="32"/>
    </row>
    <row r="552" ht="46.5" customHeight="1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  <c r="AA552" s="32"/>
      <c r="AB552" s="32"/>
      <c r="AC552" s="32"/>
      <c r="AD552" s="32"/>
      <c r="AE552" s="32"/>
      <c r="AF552" s="32"/>
      <c r="AG552" s="32"/>
    </row>
    <row r="553" ht="46.5" customHeight="1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  <c r="AA553" s="32"/>
      <c r="AB553" s="32"/>
      <c r="AC553" s="32"/>
      <c r="AD553" s="32"/>
      <c r="AE553" s="32"/>
      <c r="AF553" s="32"/>
      <c r="AG553" s="32"/>
    </row>
    <row r="554" ht="46.5" customHeight="1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  <c r="AA554" s="32"/>
      <c r="AB554" s="32"/>
      <c r="AC554" s="32"/>
      <c r="AD554" s="32"/>
      <c r="AE554" s="32"/>
      <c r="AF554" s="32"/>
      <c r="AG554" s="32"/>
    </row>
    <row r="555" ht="46.5" customHeight="1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  <c r="AA555" s="32"/>
      <c r="AB555" s="32"/>
      <c r="AC555" s="32"/>
      <c r="AD555" s="32"/>
      <c r="AE555" s="32"/>
      <c r="AF555" s="32"/>
      <c r="AG555" s="32"/>
    </row>
    <row r="556" ht="46.5" customHeight="1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  <c r="AA556" s="32"/>
      <c r="AB556" s="32"/>
      <c r="AC556" s="32"/>
      <c r="AD556" s="32"/>
      <c r="AE556" s="32"/>
      <c r="AF556" s="32"/>
      <c r="AG556" s="32"/>
    </row>
    <row r="557" ht="46.5" customHeight="1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  <c r="AA557" s="32"/>
      <c r="AB557" s="32"/>
      <c r="AC557" s="32"/>
      <c r="AD557" s="32"/>
      <c r="AE557" s="32"/>
      <c r="AF557" s="32"/>
      <c r="AG557" s="32"/>
    </row>
    <row r="558" ht="46.5" customHeight="1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  <c r="AA558" s="32"/>
      <c r="AB558" s="32"/>
      <c r="AC558" s="32"/>
      <c r="AD558" s="32"/>
      <c r="AE558" s="32"/>
      <c r="AF558" s="32"/>
      <c r="AG558" s="32"/>
    </row>
    <row r="559" ht="46.5" customHeight="1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  <c r="AA559" s="32"/>
      <c r="AB559" s="32"/>
      <c r="AC559" s="32"/>
      <c r="AD559" s="32"/>
      <c r="AE559" s="32"/>
      <c r="AF559" s="32"/>
      <c r="AG559" s="32"/>
    </row>
    <row r="560" ht="46.5" customHeight="1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  <c r="AA560" s="32"/>
      <c r="AB560" s="32"/>
      <c r="AC560" s="32"/>
      <c r="AD560" s="32"/>
      <c r="AE560" s="32"/>
      <c r="AF560" s="32"/>
      <c r="AG560" s="32"/>
    </row>
    <row r="561" ht="46.5" customHeight="1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  <c r="AA561" s="32"/>
      <c r="AB561" s="32"/>
      <c r="AC561" s="32"/>
      <c r="AD561" s="32"/>
      <c r="AE561" s="32"/>
      <c r="AF561" s="32"/>
      <c r="AG561" s="32"/>
    </row>
    <row r="562" ht="46.5" customHeight="1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  <c r="AA562" s="32"/>
      <c r="AB562" s="32"/>
      <c r="AC562" s="32"/>
      <c r="AD562" s="32"/>
      <c r="AE562" s="32"/>
      <c r="AF562" s="32"/>
      <c r="AG562" s="32"/>
    </row>
    <row r="563" ht="46.5" customHeight="1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  <c r="AA563" s="32"/>
      <c r="AB563" s="32"/>
      <c r="AC563" s="32"/>
      <c r="AD563" s="32"/>
      <c r="AE563" s="32"/>
      <c r="AF563" s="32"/>
      <c r="AG563" s="32"/>
    </row>
    <row r="564" ht="46.5" customHeight="1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  <c r="AA564" s="32"/>
      <c r="AB564" s="32"/>
      <c r="AC564" s="32"/>
      <c r="AD564" s="32"/>
      <c r="AE564" s="32"/>
      <c r="AF564" s="32"/>
      <c r="AG564" s="32"/>
    </row>
    <row r="565" ht="46.5" customHeight="1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  <c r="AA565" s="32"/>
      <c r="AB565" s="32"/>
      <c r="AC565" s="32"/>
      <c r="AD565" s="32"/>
      <c r="AE565" s="32"/>
      <c r="AF565" s="32"/>
      <c r="AG565" s="32"/>
    </row>
    <row r="566" ht="46.5" customHeight="1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  <c r="AA566" s="32"/>
      <c r="AB566" s="32"/>
      <c r="AC566" s="32"/>
      <c r="AD566" s="32"/>
      <c r="AE566" s="32"/>
      <c r="AF566" s="32"/>
      <c r="AG566" s="32"/>
    </row>
    <row r="567" ht="46.5" customHeight="1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  <c r="AA567" s="32"/>
      <c r="AB567" s="32"/>
      <c r="AC567" s="32"/>
      <c r="AD567" s="32"/>
      <c r="AE567" s="32"/>
      <c r="AF567" s="32"/>
      <c r="AG567" s="32"/>
    </row>
    <row r="568" ht="46.5" customHeight="1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  <c r="AA568" s="32"/>
      <c r="AB568" s="32"/>
      <c r="AC568" s="32"/>
      <c r="AD568" s="32"/>
      <c r="AE568" s="32"/>
      <c r="AF568" s="32"/>
      <c r="AG568" s="32"/>
    </row>
    <row r="569" ht="46.5" customHeight="1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  <c r="AA569" s="32"/>
      <c r="AB569" s="32"/>
      <c r="AC569" s="32"/>
      <c r="AD569" s="32"/>
      <c r="AE569" s="32"/>
      <c r="AF569" s="32"/>
      <c r="AG569" s="32"/>
    </row>
    <row r="570" ht="46.5" customHeight="1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  <c r="AA570" s="32"/>
      <c r="AB570" s="32"/>
      <c r="AC570" s="32"/>
      <c r="AD570" s="32"/>
      <c r="AE570" s="32"/>
      <c r="AF570" s="32"/>
      <c r="AG570" s="32"/>
    </row>
    <row r="571" ht="46.5" customHeight="1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  <c r="AA571" s="32"/>
      <c r="AB571" s="32"/>
      <c r="AC571" s="32"/>
      <c r="AD571" s="32"/>
      <c r="AE571" s="32"/>
      <c r="AF571" s="32"/>
      <c r="AG571" s="32"/>
    </row>
    <row r="572" ht="46.5" customHeight="1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  <c r="AA572" s="32"/>
      <c r="AB572" s="32"/>
      <c r="AC572" s="32"/>
      <c r="AD572" s="32"/>
      <c r="AE572" s="32"/>
      <c r="AF572" s="32"/>
      <c r="AG572" s="32"/>
    </row>
    <row r="573" ht="46.5" customHeight="1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  <c r="AA573" s="32"/>
      <c r="AB573" s="32"/>
      <c r="AC573" s="32"/>
      <c r="AD573" s="32"/>
      <c r="AE573" s="32"/>
      <c r="AF573" s="32"/>
      <c r="AG573" s="32"/>
    </row>
    <row r="574" ht="46.5" customHeight="1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  <c r="AA574" s="32"/>
      <c r="AB574" s="32"/>
      <c r="AC574" s="32"/>
      <c r="AD574" s="32"/>
      <c r="AE574" s="32"/>
      <c r="AF574" s="32"/>
      <c r="AG574" s="32"/>
    </row>
    <row r="575" ht="46.5" customHeight="1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  <c r="AA575" s="32"/>
      <c r="AB575" s="32"/>
      <c r="AC575" s="32"/>
      <c r="AD575" s="32"/>
      <c r="AE575" s="32"/>
      <c r="AF575" s="32"/>
      <c r="AG575" s="32"/>
    </row>
    <row r="576" ht="46.5" customHeight="1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  <c r="AA576" s="32"/>
      <c r="AB576" s="32"/>
      <c r="AC576" s="32"/>
      <c r="AD576" s="32"/>
      <c r="AE576" s="32"/>
      <c r="AF576" s="32"/>
      <c r="AG576" s="32"/>
    </row>
    <row r="577" ht="46.5" customHeight="1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  <c r="AA577" s="32"/>
      <c r="AB577" s="32"/>
      <c r="AC577" s="32"/>
      <c r="AD577" s="32"/>
      <c r="AE577" s="32"/>
      <c r="AF577" s="32"/>
      <c r="AG577" s="32"/>
    </row>
    <row r="578" ht="46.5" customHeight="1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  <c r="AA578" s="32"/>
      <c r="AB578" s="32"/>
      <c r="AC578" s="32"/>
      <c r="AD578" s="32"/>
      <c r="AE578" s="32"/>
      <c r="AF578" s="32"/>
      <c r="AG578" s="32"/>
    </row>
    <row r="579" ht="46.5" customHeight="1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  <c r="AA579" s="32"/>
      <c r="AB579" s="32"/>
      <c r="AC579" s="32"/>
      <c r="AD579" s="32"/>
      <c r="AE579" s="32"/>
      <c r="AF579" s="32"/>
      <c r="AG579" s="32"/>
    </row>
    <row r="580" ht="46.5" customHeight="1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  <c r="AA580" s="32"/>
      <c r="AB580" s="32"/>
      <c r="AC580" s="32"/>
      <c r="AD580" s="32"/>
      <c r="AE580" s="32"/>
      <c r="AF580" s="32"/>
      <c r="AG580" s="32"/>
    </row>
    <row r="581" ht="46.5" customHeight="1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  <c r="AA581" s="32"/>
      <c r="AB581" s="32"/>
      <c r="AC581" s="32"/>
      <c r="AD581" s="32"/>
      <c r="AE581" s="32"/>
      <c r="AF581" s="32"/>
      <c r="AG581" s="32"/>
    </row>
    <row r="582" ht="46.5" customHeight="1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  <c r="AA582" s="32"/>
      <c r="AB582" s="32"/>
      <c r="AC582" s="32"/>
      <c r="AD582" s="32"/>
      <c r="AE582" s="32"/>
      <c r="AF582" s="32"/>
      <c r="AG582" s="32"/>
    </row>
    <row r="583" ht="46.5" customHeight="1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  <c r="AA583" s="32"/>
      <c r="AB583" s="32"/>
      <c r="AC583" s="32"/>
      <c r="AD583" s="32"/>
      <c r="AE583" s="32"/>
      <c r="AF583" s="32"/>
      <c r="AG583" s="32"/>
    </row>
    <row r="584" ht="46.5" customHeight="1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  <c r="AA584" s="32"/>
      <c r="AB584" s="32"/>
      <c r="AC584" s="32"/>
      <c r="AD584" s="32"/>
      <c r="AE584" s="32"/>
      <c r="AF584" s="32"/>
      <c r="AG584" s="32"/>
    </row>
    <row r="585" ht="46.5" customHeight="1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  <c r="AA585" s="32"/>
      <c r="AB585" s="32"/>
      <c r="AC585" s="32"/>
      <c r="AD585" s="32"/>
      <c r="AE585" s="32"/>
      <c r="AF585" s="32"/>
      <c r="AG585" s="32"/>
    </row>
    <row r="586" ht="46.5" customHeight="1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  <c r="AA586" s="32"/>
      <c r="AB586" s="32"/>
      <c r="AC586" s="32"/>
      <c r="AD586" s="32"/>
      <c r="AE586" s="32"/>
      <c r="AF586" s="32"/>
      <c r="AG586" s="32"/>
    </row>
    <row r="587" ht="46.5" customHeight="1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2"/>
      <c r="AB587" s="32"/>
      <c r="AC587" s="32"/>
      <c r="AD587" s="32"/>
      <c r="AE587" s="32"/>
      <c r="AF587" s="32"/>
      <c r="AG587" s="32"/>
    </row>
    <row r="588" ht="46.5" customHeight="1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  <c r="AA588" s="32"/>
      <c r="AB588" s="32"/>
      <c r="AC588" s="32"/>
      <c r="AD588" s="32"/>
      <c r="AE588" s="32"/>
      <c r="AF588" s="32"/>
      <c r="AG588" s="32"/>
    </row>
    <row r="589" ht="46.5" customHeight="1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  <c r="AA589" s="32"/>
      <c r="AB589" s="32"/>
      <c r="AC589" s="32"/>
      <c r="AD589" s="32"/>
      <c r="AE589" s="32"/>
      <c r="AF589" s="32"/>
      <c r="AG589" s="32"/>
    </row>
    <row r="590" ht="46.5" customHeight="1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  <c r="AA590" s="32"/>
      <c r="AB590" s="32"/>
      <c r="AC590" s="32"/>
      <c r="AD590" s="32"/>
      <c r="AE590" s="32"/>
      <c r="AF590" s="32"/>
      <c r="AG590" s="32"/>
    </row>
    <row r="591" ht="46.5" customHeight="1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  <c r="AA591" s="32"/>
      <c r="AB591" s="32"/>
      <c r="AC591" s="32"/>
      <c r="AD591" s="32"/>
      <c r="AE591" s="32"/>
      <c r="AF591" s="32"/>
      <c r="AG591" s="32"/>
    </row>
    <row r="592" ht="46.5" customHeight="1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  <c r="AA592" s="32"/>
      <c r="AB592" s="32"/>
      <c r="AC592" s="32"/>
      <c r="AD592" s="32"/>
      <c r="AE592" s="32"/>
      <c r="AF592" s="32"/>
      <c r="AG592" s="32"/>
    </row>
    <row r="593" ht="46.5" customHeight="1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  <c r="AA593" s="32"/>
      <c r="AB593" s="32"/>
      <c r="AC593" s="32"/>
      <c r="AD593" s="32"/>
      <c r="AE593" s="32"/>
      <c r="AF593" s="32"/>
      <c r="AG593" s="32"/>
    </row>
    <row r="594" ht="46.5" customHeight="1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  <c r="AA594" s="32"/>
      <c r="AB594" s="32"/>
      <c r="AC594" s="32"/>
      <c r="AD594" s="32"/>
      <c r="AE594" s="32"/>
      <c r="AF594" s="32"/>
      <c r="AG594" s="32"/>
    </row>
    <row r="595" ht="46.5" customHeight="1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  <c r="AA595" s="32"/>
      <c r="AB595" s="32"/>
      <c r="AC595" s="32"/>
      <c r="AD595" s="32"/>
      <c r="AE595" s="32"/>
      <c r="AF595" s="32"/>
      <c r="AG595" s="32"/>
    </row>
    <row r="596" ht="46.5" customHeight="1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  <c r="AA596" s="32"/>
      <c r="AB596" s="32"/>
      <c r="AC596" s="32"/>
      <c r="AD596" s="32"/>
      <c r="AE596" s="32"/>
      <c r="AF596" s="32"/>
      <c r="AG596" s="32"/>
    </row>
    <row r="597" ht="46.5" customHeight="1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  <c r="AA597" s="32"/>
      <c r="AB597" s="32"/>
      <c r="AC597" s="32"/>
      <c r="AD597" s="32"/>
      <c r="AE597" s="32"/>
      <c r="AF597" s="32"/>
      <c r="AG597" s="32"/>
    </row>
    <row r="598" ht="46.5" customHeight="1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  <c r="AA598" s="32"/>
      <c r="AB598" s="32"/>
      <c r="AC598" s="32"/>
      <c r="AD598" s="32"/>
      <c r="AE598" s="32"/>
      <c r="AF598" s="32"/>
      <c r="AG598" s="32"/>
    </row>
    <row r="599" ht="46.5" customHeight="1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  <c r="AA599" s="32"/>
      <c r="AB599" s="32"/>
      <c r="AC599" s="32"/>
      <c r="AD599" s="32"/>
      <c r="AE599" s="32"/>
      <c r="AF599" s="32"/>
      <c r="AG599" s="32"/>
    </row>
    <row r="600" ht="46.5" customHeight="1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  <c r="AA600" s="32"/>
      <c r="AB600" s="32"/>
      <c r="AC600" s="32"/>
      <c r="AD600" s="32"/>
      <c r="AE600" s="32"/>
      <c r="AF600" s="32"/>
      <c r="AG600" s="32"/>
    </row>
    <row r="601" ht="46.5" customHeight="1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  <c r="AA601" s="32"/>
      <c r="AB601" s="32"/>
      <c r="AC601" s="32"/>
      <c r="AD601" s="32"/>
      <c r="AE601" s="32"/>
      <c r="AF601" s="32"/>
      <c r="AG601" s="32"/>
    </row>
    <row r="602" ht="46.5" customHeight="1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  <c r="AA602" s="32"/>
      <c r="AB602" s="32"/>
      <c r="AC602" s="32"/>
      <c r="AD602" s="32"/>
      <c r="AE602" s="32"/>
      <c r="AF602" s="32"/>
      <c r="AG602" s="32"/>
    </row>
    <row r="603" ht="46.5" customHeight="1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  <c r="AA603" s="32"/>
      <c r="AB603" s="32"/>
      <c r="AC603" s="32"/>
      <c r="AD603" s="32"/>
      <c r="AE603" s="32"/>
      <c r="AF603" s="32"/>
      <c r="AG603" s="32"/>
    </row>
    <row r="604" ht="46.5" customHeight="1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  <c r="AA604" s="32"/>
      <c r="AB604" s="32"/>
      <c r="AC604" s="32"/>
      <c r="AD604" s="32"/>
      <c r="AE604" s="32"/>
      <c r="AF604" s="32"/>
      <c r="AG604" s="32"/>
    </row>
    <row r="605" ht="46.5" customHeight="1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  <c r="AA605" s="32"/>
      <c r="AB605" s="32"/>
      <c r="AC605" s="32"/>
      <c r="AD605" s="32"/>
      <c r="AE605" s="32"/>
      <c r="AF605" s="32"/>
      <c r="AG605" s="32"/>
    </row>
    <row r="606" ht="46.5" customHeight="1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  <c r="AA606" s="32"/>
      <c r="AB606" s="32"/>
      <c r="AC606" s="32"/>
      <c r="AD606" s="32"/>
      <c r="AE606" s="32"/>
      <c r="AF606" s="32"/>
      <c r="AG606" s="32"/>
    </row>
    <row r="607" ht="46.5" customHeight="1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  <c r="AA607" s="32"/>
      <c r="AB607" s="32"/>
      <c r="AC607" s="32"/>
      <c r="AD607" s="32"/>
      <c r="AE607" s="32"/>
      <c r="AF607" s="32"/>
      <c r="AG607" s="32"/>
    </row>
    <row r="608" ht="46.5" customHeight="1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  <c r="AA608" s="32"/>
      <c r="AB608" s="32"/>
      <c r="AC608" s="32"/>
      <c r="AD608" s="32"/>
      <c r="AE608" s="32"/>
      <c r="AF608" s="32"/>
      <c r="AG608" s="32"/>
    </row>
    <row r="609" ht="46.5" customHeight="1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  <c r="AA609" s="32"/>
      <c r="AB609" s="32"/>
      <c r="AC609" s="32"/>
      <c r="AD609" s="32"/>
      <c r="AE609" s="32"/>
      <c r="AF609" s="32"/>
      <c r="AG609" s="32"/>
    </row>
    <row r="610" ht="46.5" customHeight="1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  <c r="AA610" s="32"/>
      <c r="AB610" s="32"/>
      <c r="AC610" s="32"/>
      <c r="AD610" s="32"/>
      <c r="AE610" s="32"/>
      <c r="AF610" s="32"/>
      <c r="AG610" s="32"/>
    </row>
    <row r="611" ht="46.5" customHeight="1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  <c r="AA611" s="32"/>
      <c r="AB611" s="32"/>
      <c r="AC611" s="32"/>
      <c r="AD611" s="32"/>
      <c r="AE611" s="32"/>
      <c r="AF611" s="32"/>
      <c r="AG611" s="32"/>
    </row>
    <row r="612" ht="46.5" customHeight="1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  <c r="AA612" s="32"/>
      <c r="AB612" s="32"/>
      <c r="AC612" s="32"/>
      <c r="AD612" s="32"/>
      <c r="AE612" s="32"/>
      <c r="AF612" s="32"/>
      <c r="AG612" s="32"/>
    </row>
    <row r="613" ht="46.5" customHeight="1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  <c r="AA613" s="32"/>
      <c r="AB613" s="32"/>
      <c r="AC613" s="32"/>
      <c r="AD613" s="32"/>
      <c r="AE613" s="32"/>
      <c r="AF613" s="32"/>
      <c r="AG613" s="32"/>
    </row>
    <row r="614" ht="46.5" customHeight="1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  <c r="AA614" s="32"/>
      <c r="AB614" s="32"/>
      <c r="AC614" s="32"/>
      <c r="AD614" s="32"/>
      <c r="AE614" s="32"/>
      <c r="AF614" s="32"/>
      <c r="AG614" s="32"/>
    </row>
    <row r="615" ht="46.5" customHeight="1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  <c r="AA615" s="32"/>
      <c r="AB615" s="32"/>
      <c r="AC615" s="32"/>
      <c r="AD615" s="32"/>
      <c r="AE615" s="32"/>
      <c r="AF615" s="32"/>
      <c r="AG615" s="32"/>
    </row>
    <row r="616" ht="46.5" customHeight="1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  <c r="AA616" s="32"/>
      <c r="AB616" s="32"/>
      <c r="AC616" s="32"/>
      <c r="AD616" s="32"/>
      <c r="AE616" s="32"/>
      <c r="AF616" s="32"/>
      <c r="AG616" s="32"/>
    </row>
    <row r="617" ht="46.5" customHeight="1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  <c r="AA617" s="32"/>
      <c r="AB617" s="32"/>
      <c r="AC617" s="32"/>
      <c r="AD617" s="32"/>
      <c r="AE617" s="32"/>
      <c r="AF617" s="32"/>
      <c r="AG617" s="32"/>
    </row>
    <row r="618" ht="46.5" customHeight="1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  <c r="AA618" s="32"/>
      <c r="AB618" s="32"/>
      <c r="AC618" s="32"/>
      <c r="AD618" s="32"/>
      <c r="AE618" s="32"/>
      <c r="AF618" s="32"/>
      <c r="AG618" s="32"/>
    </row>
    <row r="619" ht="46.5" customHeight="1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  <c r="AA619" s="32"/>
      <c r="AB619" s="32"/>
      <c r="AC619" s="32"/>
      <c r="AD619" s="32"/>
      <c r="AE619" s="32"/>
      <c r="AF619" s="32"/>
      <c r="AG619" s="32"/>
    </row>
    <row r="620" ht="46.5" customHeight="1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  <c r="AA620" s="32"/>
      <c r="AB620" s="32"/>
      <c r="AC620" s="32"/>
      <c r="AD620" s="32"/>
      <c r="AE620" s="32"/>
      <c r="AF620" s="32"/>
      <c r="AG620" s="32"/>
    </row>
    <row r="621" ht="46.5" customHeight="1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  <c r="AA621" s="32"/>
      <c r="AB621" s="32"/>
      <c r="AC621" s="32"/>
      <c r="AD621" s="32"/>
      <c r="AE621" s="32"/>
      <c r="AF621" s="32"/>
      <c r="AG621" s="32"/>
    </row>
    <row r="622" ht="46.5" customHeight="1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  <c r="AA622" s="32"/>
      <c r="AB622" s="32"/>
      <c r="AC622" s="32"/>
      <c r="AD622" s="32"/>
      <c r="AE622" s="32"/>
      <c r="AF622" s="32"/>
      <c r="AG622" s="32"/>
    </row>
    <row r="623" ht="46.5" customHeight="1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  <c r="AA623" s="32"/>
      <c r="AB623" s="32"/>
      <c r="AC623" s="32"/>
      <c r="AD623" s="32"/>
      <c r="AE623" s="32"/>
      <c r="AF623" s="32"/>
      <c r="AG623" s="32"/>
    </row>
    <row r="624" ht="46.5" customHeight="1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  <c r="AA624" s="32"/>
      <c r="AB624" s="32"/>
      <c r="AC624" s="32"/>
      <c r="AD624" s="32"/>
      <c r="AE624" s="32"/>
      <c r="AF624" s="32"/>
      <c r="AG624" s="32"/>
    </row>
    <row r="625" ht="46.5" customHeight="1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  <c r="AA625" s="32"/>
      <c r="AB625" s="32"/>
      <c r="AC625" s="32"/>
      <c r="AD625" s="32"/>
      <c r="AE625" s="32"/>
      <c r="AF625" s="32"/>
      <c r="AG625" s="32"/>
    </row>
    <row r="626" ht="46.5" customHeight="1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  <c r="AA626" s="32"/>
      <c r="AB626" s="32"/>
      <c r="AC626" s="32"/>
      <c r="AD626" s="32"/>
      <c r="AE626" s="32"/>
      <c r="AF626" s="32"/>
      <c r="AG626" s="32"/>
    </row>
    <row r="627" ht="46.5" customHeight="1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  <c r="AA627" s="32"/>
      <c r="AB627" s="32"/>
      <c r="AC627" s="32"/>
      <c r="AD627" s="32"/>
      <c r="AE627" s="32"/>
      <c r="AF627" s="32"/>
      <c r="AG627" s="32"/>
    </row>
    <row r="628" ht="46.5" customHeight="1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  <c r="AA628" s="32"/>
      <c r="AB628" s="32"/>
      <c r="AC628" s="32"/>
      <c r="AD628" s="32"/>
      <c r="AE628" s="32"/>
      <c r="AF628" s="32"/>
      <c r="AG628" s="32"/>
    </row>
    <row r="629" ht="46.5" customHeight="1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  <c r="AA629" s="32"/>
      <c r="AB629" s="32"/>
      <c r="AC629" s="32"/>
      <c r="AD629" s="32"/>
      <c r="AE629" s="32"/>
      <c r="AF629" s="32"/>
      <c r="AG629" s="32"/>
    </row>
    <row r="630" ht="46.5" customHeight="1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  <c r="AA630" s="32"/>
      <c r="AB630" s="32"/>
      <c r="AC630" s="32"/>
      <c r="AD630" s="32"/>
      <c r="AE630" s="32"/>
      <c r="AF630" s="32"/>
      <c r="AG630" s="32"/>
    </row>
    <row r="631" ht="46.5" customHeight="1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  <c r="AA631" s="32"/>
      <c r="AB631" s="32"/>
      <c r="AC631" s="32"/>
      <c r="AD631" s="32"/>
      <c r="AE631" s="32"/>
      <c r="AF631" s="32"/>
      <c r="AG631" s="32"/>
    </row>
    <row r="632" ht="46.5" customHeight="1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  <c r="AA632" s="32"/>
      <c r="AB632" s="32"/>
      <c r="AC632" s="32"/>
      <c r="AD632" s="32"/>
      <c r="AE632" s="32"/>
      <c r="AF632" s="32"/>
      <c r="AG632" s="32"/>
    </row>
    <row r="633" ht="46.5" customHeight="1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  <c r="AA633" s="32"/>
      <c r="AB633" s="32"/>
      <c r="AC633" s="32"/>
      <c r="AD633" s="32"/>
      <c r="AE633" s="32"/>
      <c r="AF633" s="32"/>
      <c r="AG633" s="32"/>
    </row>
    <row r="634" ht="46.5" customHeight="1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  <c r="AA634" s="32"/>
      <c r="AB634" s="32"/>
      <c r="AC634" s="32"/>
      <c r="AD634" s="32"/>
      <c r="AE634" s="32"/>
      <c r="AF634" s="32"/>
      <c r="AG634" s="32"/>
    </row>
    <row r="635" ht="46.5" customHeight="1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  <c r="AA635" s="32"/>
      <c r="AB635" s="32"/>
      <c r="AC635" s="32"/>
      <c r="AD635" s="32"/>
      <c r="AE635" s="32"/>
      <c r="AF635" s="32"/>
      <c r="AG635" s="32"/>
    </row>
    <row r="636" ht="46.5" customHeight="1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  <c r="AA636" s="32"/>
      <c r="AB636" s="32"/>
      <c r="AC636" s="32"/>
      <c r="AD636" s="32"/>
      <c r="AE636" s="32"/>
      <c r="AF636" s="32"/>
      <c r="AG636" s="32"/>
    </row>
    <row r="637" ht="46.5" customHeight="1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  <c r="AA637" s="32"/>
      <c r="AB637" s="32"/>
      <c r="AC637" s="32"/>
      <c r="AD637" s="32"/>
      <c r="AE637" s="32"/>
      <c r="AF637" s="32"/>
      <c r="AG637" s="32"/>
    </row>
    <row r="638" ht="46.5" customHeight="1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  <c r="AA638" s="32"/>
      <c r="AB638" s="32"/>
      <c r="AC638" s="32"/>
      <c r="AD638" s="32"/>
      <c r="AE638" s="32"/>
      <c r="AF638" s="32"/>
      <c r="AG638" s="32"/>
    </row>
    <row r="639" ht="46.5" customHeight="1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  <c r="AA639" s="32"/>
      <c r="AB639" s="32"/>
      <c r="AC639" s="32"/>
      <c r="AD639" s="32"/>
      <c r="AE639" s="32"/>
      <c r="AF639" s="32"/>
      <c r="AG639" s="32"/>
    </row>
    <row r="640" ht="46.5" customHeight="1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  <c r="AA640" s="32"/>
      <c r="AB640" s="32"/>
      <c r="AC640" s="32"/>
      <c r="AD640" s="32"/>
      <c r="AE640" s="32"/>
      <c r="AF640" s="32"/>
      <c r="AG640" s="32"/>
    </row>
    <row r="641" ht="46.5" customHeight="1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  <c r="AA641" s="32"/>
      <c r="AB641" s="32"/>
      <c r="AC641" s="32"/>
      <c r="AD641" s="32"/>
      <c r="AE641" s="32"/>
      <c r="AF641" s="32"/>
      <c r="AG641" s="32"/>
    </row>
    <row r="642" ht="46.5" customHeight="1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  <c r="AA642" s="32"/>
      <c r="AB642" s="32"/>
      <c r="AC642" s="32"/>
      <c r="AD642" s="32"/>
      <c r="AE642" s="32"/>
      <c r="AF642" s="32"/>
      <c r="AG642" s="32"/>
    </row>
    <row r="643" ht="46.5" customHeight="1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  <c r="AA643" s="32"/>
      <c r="AB643" s="32"/>
      <c r="AC643" s="32"/>
      <c r="AD643" s="32"/>
      <c r="AE643" s="32"/>
      <c r="AF643" s="32"/>
      <c r="AG643" s="32"/>
    </row>
    <row r="644" ht="46.5" customHeight="1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  <c r="AA644" s="32"/>
      <c r="AB644" s="32"/>
      <c r="AC644" s="32"/>
      <c r="AD644" s="32"/>
      <c r="AE644" s="32"/>
      <c r="AF644" s="32"/>
      <c r="AG644" s="32"/>
    </row>
    <row r="645" ht="46.5" customHeight="1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  <c r="AA645" s="32"/>
      <c r="AB645" s="32"/>
      <c r="AC645" s="32"/>
      <c r="AD645" s="32"/>
      <c r="AE645" s="32"/>
      <c r="AF645" s="32"/>
      <c r="AG645" s="32"/>
    </row>
    <row r="646" ht="46.5" customHeight="1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  <c r="AA646" s="32"/>
      <c r="AB646" s="32"/>
      <c r="AC646" s="32"/>
      <c r="AD646" s="32"/>
      <c r="AE646" s="32"/>
      <c r="AF646" s="32"/>
      <c r="AG646" s="32"/>
    </row>
    <row r="647" ht="46.5" customHeight="1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  <c r="AA647" s="32"/>
      <c r="AB647" s="32"/>
      <c r="AC647" s="32"/>
      <c r="AD647" s="32"/>
      <c r="AE647" s="32"/>
      <c r="AF647" s="32"/>
      <c r="AG647" s="32"/>
    </row>
    <row r="648" ht="46.5" customHeight="1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  <c r="AA648" s="32"/>
      <c r="AB648" s="32"/>
      <c r="AC648" s="32"/>
      <c r="AD648" s="32"/>
      <c r="AE648" s="32"/>
      <c r="AF648" s="32"/>
      <c r="AG648" s="32"/>
    </row>
    <row r="649" ht="46.5" customHeight="1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  <c r="AA649" s="32"/>
      <c r="AB649" s="32"/>
      <c r="AC649" s="32"/>
      <c r="AD649" s="32"/>
      <c r="AE649" s="32"/>
      <c r="AF649" s="32"/>
      <c r="AG649" s="32"/>
    </row>
    <row r="650" ht="46.5" customHeight="1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  <c r="AA650" s="32"/>
      <c r="AB650" s="32"/>
      <c r="AC650" s="32"/>
      <c r="AD650" s="32"/>
      <c r="AE650" s="32"/>
      <c r="AF650" s="32"/>
      <c r="AG650" s="32"/>
    </row>
    <row r="651" ht="46.5" customHeight="1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  <c r="AA651" s="32"/>
      <c r="AB651" s="32"/>
      <c r="AC651" s="32"/>
      <c r="AD651" s="32"/>
      <c r="AE651" s="32"/>
      <c r="AF651" s="32"/>
      <c r="AG651" s="32"/>
    </row>
    <row r="652" ht="46.5" customHeight="1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  <c r="AA652" s="32"/>
      <c r="AB652" s="32"/>
      <c r="AC652" s="32"/>
      <c r="AD652" s="32"/>
      <c r="AE652" s="32"/>
      <c r="AF652" s="32"/>
      <c r="AG652" s="32"/>
    </row>
    <row r="653" ht="46.5" customHeight="1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  <c r="AA653" s="32"/>
      <c r="AB653" s="32"/>
      <c r="AC653" s="32"/>
      <c r="AD653" s="32"/>
      <c r="AE653" s="32"/>
      <c r="AF653" s="32"/>
      <c r="AG653" s="32"/>
    </row>
    <row r="654" ht="46.5" customHeight="1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  <c r="AA654" s="32"/>
      <c r="AB654" s="32"/>
      <c r="AC654" s="32"/>
      <c r="AD654" s="32"/>
      <c r="AE654" s="32"/>
      <c r="AF654" s="32"/>
      <c r="AG654" s="32"/>
    </row>
    <row r="655" ht="46.5" customHeight="1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  <c r="AA655" s="32"/>
      <c r="AB655" s="32"/>
      <c r="AC655" s="32"/>
      <c r="AD655" s="32"/>
      <c r="AE655" s="32"/>
      <c r="AF655" s="32"/>
      <c r="AG655" s="32"/>
    </row>
    <row r="656" ht="46.5" customHeight="1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  <c r="AA656" s="32"/>
      <c r="AB656" s="32"/>
      <c r="AC656" s="32"/>
      <c r="AD656" s="32"/>
      <c r="AE656" s="32"/>
      <c r="AF656" s="32"/>
      <c r="AG656" s="32"/>
    </row>
    <row r="657" ht="46.5" customHeight="1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  <c r="AA657" s="32"/>
      <c r="AB657" s="32"/>
      <c r="AC657" s="32"/>
      <c r="AD657" s="32"/>
      <c r="AE657" s="32"/>
      <c r="AF657" s="32"/>
      <c r="AG657" s="32"/>
    </row>
    <row r="658" ht="46.5" customHeight="1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  <c r="AA658" s="32"/>
      <c r="AB658" s="32"/>
      <c r="AC658" s="32"/>
      <c r="AD658" s="32"/>
      <c r="AE658" s="32"/>
      <c r="AF658" s="32"/>
      <c r="AG658" s="32"/>
    </row>
    <row r="659" ht="46.5" customHeight="1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  <c r="AA659" s="32"/>
      <c r="AB659" s="32"/>
      <c r="AC659" s="32"/>
      <c r="AD659" s="32"/>
      <c r="AE659" s="32"/>
      <c r="AF659" s="32"/>
      <c r="AG659" s="32"/>
    </row>
    <row r="660" ht="46.5" customHeight="1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  <c r="AA660" s="32"/>
      <c r="AB660" s="32"/>
      <c r="AC660" s="32"/>
      <c r="AD660" s="32"/>
      <c r="AE660" s="32"/>
      <c r="AF660" s="32"/>
      <c r="AG660" s="32"/>
    </row>
    <row r="661" ht="46.5" customHeight="1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  <c r="AA661" s="32"/>
      <c r="AB661" s="32"/>
      <c r="AC661" s="32"/>
      <c r="AD661" s="32"/>
      <c r="AE661" s="32"/>
      <c r="AF661" s="32"/>
      <c r="AG661" s="32"/>
    </row>
    <row r="662" ht="46.5" customHeight="1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  <c r="AA662" s="32"/>
      <c r="AB662" s="32"/>
      <c r="AC662" s="32"/>
      <c r="AD662" s="32"/>
      <c r="AE662" s="32"/>
      <c r="AF662" s="32"/>
      <c r="AG662" s="32"/>
    </row>
    <row r="663" ht="46.5" customHeight="1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  <c r="AA663" s="32"/>
      <c r="AB663" s="32"/>
      <c r="AC663" s="32"/>
      <c r="AD663" s="32"/>
      <c r="AE663" s="32"/>
      <c r="AF663" s="32"/>
      <c r="AG663" s="32"/>
    </row>
    <row r="664" ht="46.5" customHeight="1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  <c r="AA664" s="32"/>
      <c r="AB664" s="32"/>
      <c r="AC664" s="32"/>
      <c r="AD664" s="32"/>
      <c r="AE664" s="32"/>
      <c r="AF664" s="32"/>
      <c r="AG664" s="32"/>
    </row>
    <row r="665" ht="46.5" customHeight="1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  <c r="AA665" s="32"/>
      <c r="AB665" s="32"/>
      <c r="AC665" s="32"/>
      <c r="AD665" s="32"/>
      <c r="AE665" s="32"/>
      <c r="AF665" s="32"/>
      <c r="AG665" s="32"/>
    </row>
    <row r="666" ht="46.5" customHeight="1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  <c r="AA666" s="32"/>
      <c r="AB666" s="32"/>
      <c r="AC666" s="32"/>
      <c r="AD666" s="32"/>
      <c r="AE666" s="32"/>
      <c r="AF666" s="32"/>
      <c r="AG666" s="32"/>
    </row>
    <row r="667" ht="46.5" customHeight="1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  <c r="AA667" s="32"/>
      <c r="AB667" s="32"/>
      <c r="AC667" s="32"/>
      <c r="AD667" s="32"/>
      <c r="AE667" s="32"/>
      <c r="AF667" s="32"/>
      <c r="AG667" s="32"/>
    </row>
    <row r="668" ht="46.5" customHeight="1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  <c r="AA668" s="32"/>
      <c r="AB668" s="32"/>
      <c r="AC668" s="32"/>
      <c r="AD668" s="32"/>
      <c r="AE668" s="32"/>
      <c r="AF668" s="32"/>
      <c r="AG668" s="32"/>
    </row>
    <row r="669" ht="46.5" customHeight="1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  <c r="AA669" s="32"/>
      <c r="AB669" s="32"/>
      <c r="AC669" s="32"/>
      <c r="AD669" s="32"/>
      <c r="AE669" s="32"/>
      <c r="AF669" s="32"/>
      <c r="AG669" s="32"/>
    </row>
    <row r="670" ht="46.5" customHeight="1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  <c r="AA670" s="32"/>
      <c r="AB670" s="32"/>
      <c r="AC670" s="32"/>
      <c r="AD670" s="32"/>
      <c r="AE670" s="32"/>
      <c r="AF670" s="32"/>
      <c r="AG670" s="32"/>
    </row>
    <row r="671" ht="46.5" customHeight="1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  <c r="AA671" s="32"/>
      <c r="AB671" s="32"/>
      <c r="AC671" s="32"/>
      <c r="AD671" s="32"/>
      <c r="AE671" s="32"/>
      <c r="AF671" s="32"/>
      <c r="AG671" s="32"/>
    </row>
    <row r="672" ht="46.5" customHeight="1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  <c r="AA672" s="32"/>
      <c r="AB672" s="32"/>
      <c r="AC672" s="32"/>
      <c r="AD672" s="32"/>
      <c r="AE672" s="32"/>
      <c r="AF672" s="32"/>
      <c r="AG672" s="32"/>
    </row>
    <row r="673" ht="46.5" customHeight="1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  <c r="AA673" s="32"/>
      <c r="AB673" s="32"/>
      <c r="AC673" s="32"/>
      <c r="AD673" s="32"/>
      <c r="AE673" s="32"/>
      <c r="AF673" s="32"/>
      <c r="AG673" s="32"/>
    </row>
    <row r="674" ht="46.5" customHeight="1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  <c r="AA674" s="32"/>
      <c r="AB674" s="32"/>
      <c r="AC674" s="32"/>
      <c r="AD674" s="32"/>
      <c r="AE674" s="32"/>
      <c r="AF674" s="32"/>
      <c r="AG674" s="32"/>
    </row>
    <row r="675" ht="46.5" customHeight="1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  <c r="AA675" s="32"/>
      <c r="AB675" s="32"/>
      <c r="AC675" s="32"/>
      <c r="AD675" s="32"/>
      <c r="AE675" s="32"/>
      <c r="AF675" s="32"/>
      <c r="AG675" s="32"/>
    </row>
    <row r="676" ht="46.5" customHeight="1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  <c r="AA676" s="32"/>
      <c r="AB676" s="32"/>
      <c r="AC676" s="32"/>
      <c r="AD676" s="32"/>
      <c r="AE676" s="32"/>
      <c r="AF676" s="32"/>
      <c r="AG676" s="32"/>
    </row>
    <row r="677" ht="46.5" customHeight="1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  <c r="AA677" s="32"/>
      <c r="AB677" s="32"/>
      <c r="AC677" s="32"/>
      <c r="AD677" s="32"/>
      <c r="AE677" s="32"/>
      <c r="AF677" s="32"/>
      <c r="AG677" s="32"/>
    </row>
    <row r="678" ht="46.5" customHeight="1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  <c r="AA678" s="32"/>
      <c r="AB678" s="32"/>
      <c r="AC678" s="32"/>
      <c r="AD678" s="32"/>
      <c r="AE678" s="32"/>
      <c r="AF678" s="32"/>
      <c r="AG678" s="32"/>
    </row>
    <row r="679" ht="46.5" customHeight="1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  <c r="AA679" s="32"/>
      <c r="AB679" s="32"/>
      <c r="AC679" s="32"/>
      <c r="AD679" s="32"/>
      <c r="AE679" s="32"/>
      <c r="AF679" s="32"/>
      <c r="AG679" s="32"/>
    </row>
    <row r="680" ht="46.5" customHeight="1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  <c r="AA680" s="32"/>
      <c r="AB680" s="32"/>
      <c r="AC680" s="32"/>
      <c r="AD680" s="32"/>
      <c r="AE680" s="32"/>
      <c r="AF680" s="32"/>
      <c r="AG680" s="32"/>
    </row>
    <row r="681" ht="46.5" customHeight="1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  <c r="AA681" s="32"/>
      <c r="AB681" s="32"/>
      <c r="AC681" s="32"/>
      <c r="AD681" s="32"/>
      <c r="AE681" s="32"/>
      <c r="AF681" s="32"/>
      <c r="AG681" s="32"/>
    </row>
    <row r="682" ht="46.5" customHeight="1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  <c r="AA682" s="32"/>
      <c r="AB682" s="32"/>
      <c r="AC682" s="32"/>
      <c r="AD682" s="32"/>
      <c r="AE682" s="32"/>
      <c r="AF682" s="32"/>
      <c r="AG682" s="32"/>
    </row>
    <row r="683" ht="46.5" customHeight="1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  <c r="AA683" s="32"/>
      <c r="AB683" s="32"/>
      <c r="AC683" s="32"/>
      <c r="AD683" s="32"/>
      <c r="AE683" s="32"/>
      <c r="AF683" s="32"/>
      <c r="AG683" s="32"/>
    </row>
    <row r="684" ht="46.5" customHeight="1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  <c r="AA684" s="32"/>
      <c r="AB684" s="32"/>
      <c r="AC684" s="32"/>
      <c r="AD684" s="32"/>
      <c r="AE684" s="32"/>
      <c r="AF684" s="32"/>
      <c r="AG684" s="32"/>
    </row>
    <row r="685" ht="46.5" customHeight="1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  <c r="AA685" s="32"/>
      <c r="AB685" s="32"/>
      <c r="AC685" s="32"/>
      <c r="AD685" s="32"/>
      <c r="AE685" s="32"/>
      <c r="AF685" s="32"/>
      <c r="AG685" s="32"/>
    </row>
    <row r="686" ht="46.5" customHeight="1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  <c r="AA686" s="32"/>
      <c r="AB686" s="32"/>
      <c r="AC686" s="32"/>
      <c r="AD686" s="32"/>
      <c r="AE686" s="32"/>
      <c r="AF686" s="32"/>
      <c r="AG686" s="32"/>
    </row>
    <row r="687" ht="46.5" customHeight="1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  <c r="AA687" s="32"/>
      <c r="AB687" s="32"/>
      <c r="AC687" s="32"/>
      <c r="AD687" s="32"/>
      <c r="AE687" s="32"/>
      <c r="AF687" s="32"/>
      <c r="AG687" s="32"/>
    </row>
    <row r="688" ht="46.5" customHeight="1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  <c r="AA688" s="32"/>
      <c r="AB688" s="32"/>
      <c r="AC688" s="32"/>
      <c r="AD688" s="32"/>
      <c r="AE688" s="32"/>
      <c r="AF688" s="32"/>
      <c r="AG688" s="32"/>
    </row>
    <row r="689" ht="46.5" customHeight="1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  <c r="AA689" s="32"/>
      <c r="AB689" s="32"/>
      <c r="AC689" s="32"/>
      <c r="AD689" s="32"/>
      <c r="AE689" s="32"/>
      <c r="AF689" s="32"/>
      <c r="AG689" s="32"/>
    </row>
    <row r="690" ht="46.5" customHeight="1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  <c r="AA690" s="32"/>
      <c r="AB690" s="32"/>
      <c r="AC690" s="32"/>
      <c r="AD690" s="32"/>
      <c r="AE690" s="32"/>
      <c r="AF690" s="32"/>
      <c r="AG690" s="32"/>
    </row>
    <row r="691" ht="46.5" customHeight="1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  <c r="AA691" s="32"/>
      <c r="AB691" s="32"/>
      <c r="AC691" s="32"/>
      <c r="AD691" s="32"/>
      <c r="AE691" s="32"/>
      <c r="AF691" s="32"/>
      <c r="AG691" s="32"/>
    </row>
    <row r="692" ht="46.5" customHeight="1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  <c r="AA692" s="32"/>
      <c r="AB692" s="32"/>
      <c r="AC692" s="32"/>
      <c r="AD692" s="32"/>
      <c r="AE692" s="32"/>
      <c r="AF692" s="32"/>
      <c r="AG692" s="32"/>
    </row>
    <row r="693" ht="46.5" customHeight="1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  <c r="AA693" s="32"/>
      <c r="AB693" s="32"/>
      <c r="AC693" s="32"/>
      <c r="AD693" s="32"/>
      <c r="AE693" s="32"/>
      <c r="AF693" s="32"/>
      <c r="AG693" s="32"/>
    </row>
    <row r="694" ht="46.5" customHeight="1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  <c r="AA694" s="32"/>
      <c r="AB694" s="32"/>
      <c r="AC694" s="32"/>
      <c r="AD694" s="32"/>
      <c r="AE694" s="32"/>
      <c r="AF694" s="32"/>
      <c r="AG694" s="32"/>
    </row>
    <row r="695" ht="46.5" customHeight="1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  <c r="AA695" s="32"/>
      <c r="AB695" s="32"/>
      <c r="AC695" s="32"/>
      <c r="AD695" s="32"/>
      <c r="AE695" s="32"/>
      <c r="AF695" s="32"/>
      <c r="AG695" s="32"/>
    </row>
    <row r="696" ht="46.5" customHeight="1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  <c r="AA696" s="32"/>
      <c r="AB696" s="32"/>
      <c r="AC696" s="32"/>
      <c r="AD696" s="32"/>
      <c r="AE696" s="32"/>
      <c r="AF696" s="32"/>
      <c r="AG696" s="32"/>
    </row>
    <row r="697" ht="46.5" customHeight="1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  <c r="AA697" s="32"/>
      <c r="AB697" s="32"/>
      <c r="AC697" s="32"/>
      <c r="AD697" s="32"/>
      <c r="AE697" s="32"/>
      <c r="AF697" s="32"/>
      <c r="AG697" s="32"/>
    </row>
    <row r="698" ht="46.5" customHeight="1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  <c r="AA698" s="32"/>
      <c r="AB698" s="32"/>
      <c r="AC698" s="32"/>
      <c r="AD698" s="32"/>
      <c r="AE698" s="32"/>
      <c r="AF698" s="32"/>
      <c r="AG698" s="32"/>
    </row>
    <row r="699" ht="46.5" customHeight="1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  <c r="AA699" s="32"/>
      <c r="AB699" s="32"/>
      <c r="AC699" s="32"/>
      <c r="AD699" s="32"/>
      <c r="AE699" s="32"/>
      <c r="AF699" s="32"/>
      <c r="AG699" s="32"/>
    </row>
    <row r="700" ht="46.5" customHeight="1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  <c r="AA700" s="32"/>
      <c r="AB700" s="32"/>
      <c r="AC700" s="32"/>
      <c r="AD700" s="32"/>
      <c r="AE700" s="32"/>
      <c r="AF700" s="32"/>
      <c r="AG700" s="32"/>
    </row>
    <row r="701" ht="46.5" customHeight="1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  <c r="AA701" s="32"/>
      <c r="AB701" s="32"/>
      <c r="AC701" s="32"/>
      <c r="AD701" s="32"/>
      <c r="AE701" s="32"/>
      <c r="AF701" s="32"/>
      <c r="AG701" s="32"/>
    </row>
    <row r="702" ht="46.5" customHeight="1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  <c r="AA702" s="32"/>
      <c r="AB702" s="32"/>
      <c r="AC702" s="32"/>
      <c r="AD702" s="32"/>
      <c r="AE702" s="32"/>
      <c r="AF702" s="32"/>
      <c r="AG702" s="32"/>
    </row>
    <row r="703" ht="46.5" customHeight="1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  <c r="AA703" s="32"/>
      <c r="AB703" s="32"/>
      <c r="AC703" s="32"/>
      <c r="AD703" s="32"/>
      <c r="AE703" s="32"/>
      <c r="AF703" s="32"/>
      <c r="AG703" s="32"/>
    </row>
    <row r="704" ht="46.5" customHeight="1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  <c r="AA704" s="32"/>
      <c r="AB704" s="32"/>
      <c r="AC704" s="32"/>
      <c r="AD704" s="32"/>
      <c r="AE704" s="32"/>
      <c r="AF704" s="32"/>
      <c r="AG704" s="32"/>
    </row>
    <row r="705" ht="46.5" customHeight="1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  <c r="AA705" s="32"/>
      <c r="AB705" s="32"/>
      <c r="AC705" s="32"/>
      <c r="AD705" s="32"/>
      <c r="AE705" s="32"/>
      <c r="AF705" s="32"/>
      <c r="AG705" s="32"/>
    </row>
    <row r="706" ht="46.5" customHeight="1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  <c r="AA706" s="32"/>
      <c r="AB706" s="32"/>
      <c r="AC706" s="32"/>
      <c r="AD706" s="32"/>
      <c r="AE706" s="32"/>
      <c r="AF706" s="32"/>
      <c r="AG706" s="32"/>
    </row>
    <row r="707" ht="46.5" customHeight="1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  <c r="AA707" s="32"/>
      <c r="AB707" s="32"/>
      <c r="AC707" s="32"/>
      <c r="AD707" s="32"/>
      <c r="AE707" s="32"/>
      <c r="AF707" s="32"/>
      <c r="AG707" s="32"/>
    </row>
    <row r="708" ht="46.5" customHeight="1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  <c r="AA708" s="32"/>
      <c r="AB708" s="32"/>
      <c r="AC708" s="32"/>
      <c r="AD708" s="32"/>
      <c r="AE708" s="32"/>
      <c r="AF708" s="32"/>
      <c r="AG708" s="32"/>
    </row>
    <row r="709" ht="46.5" customHeight="1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  <c r="AA709" s="32"/>
      <c r="AB709" s="32"/>
      <c r="AC709" s="32"/>
      <c r="AD709" s="32"/>
      <c r="AE709" s="32"/>
      <c r="AF709" s="32"/>
      <c r="AG709" s="32"/>
    </row>
    <row r="710" ht="46.5" customHeight="1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  <c r="AA710" s="32"/>
      <c r="AB710" s="32"/>
      <c r="AC710" s="32"/>
      <c r="AD710" s="32"/>
      <c r="AE710" s="32"/>
      <c r="AF710" s="32"/>
      <c r="AG710" s="32"/>
    </row>
    <row r="711" ht="46.5" customHeight="1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  <c r="AA711" s="32"/>
      <c r="AB711" s="32"/>
      <c r="AC711" s="32"/>
      <c r="AD711" s="32"/>
      <c r="AE711" s="32"/>
      <c r="AF711" s="32"/>
      <c r="AG711" s="32"/>
    </row>
    <row r="712" ht="46.5" customHeight="1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  <c r="AA712" s="32"/>
      <c r="AB712" s="32"/>
      <c r="AC712" s="32"/>
      <c r="AD712" s="32"/>
      <c r="AE712" s="32"/>
      <c r="AF712" s="32"/>
      <c r="AG712" s="32"/>
    </row>
    <row r="713" ht="46.5" customHeight="1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  <c r="AA713" s="32"/>
      <c r="AB713" s="32"/>
      <c r="AC713" s="32"/>
      <c r="AD713" s="32"/>
      <c r="AE713" s="32"/>
      <c r="AF713" s="32"/>
      <c r="AG713" s="32"/>
    </row>
    <row r="714" ht="46.5" customHeight="1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  <c r="AA714" s="32"/>
      <c r="AB714" s="32"/>
      <c r="AC714" s="32"/>
      <c r="AD714" s="32"/>
      <c r="AE714" s="32"/>
      <c r="AF714" s="32"/>
      <c r="AG714" s="32"/>
    </row>
    <row r="715" ht="46.5" customHeight="1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  <c r="AA715" s="32"/>
      <c r="AB715" s="32"/>
      <c r="AC715" s="32"/>
      <c r="AD715" s="32"/>
      <c r="AE715" s="32"/>
      <c r="AF715" s="32"/>
      <c r="AG715" s="32"/>
    </row>
    <row r="716" ht="46.5" customHeight="1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  <c r="AA716" s="32"/>
      <c r="AB716" s="32"/>
      <c r="AC716" s="32"/>
      <c r="AD716" s="32"/>
      <c r="AE716" s="32"/>
      <c r="AF716" s="32"/>
      <c r="AG716" s="32"/>
    </row>
    <row r="717" ht="46.5" customHeight="1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  <c r="AA717" s="32"/>
      <c r="AB717" s="32"/>
      <c r="AC717" s="32"/>
      <c r="AD717" s="32"/>
      <c r="AE717" s="32"/>
      <c r="AF717" s="32"/>
      <c r="AG717" s="32"/>
    </row>
    <row r="718" ht="46.5" customHeight="1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  <c r="AA718" s="32"/>
      <c r="AB718" s="32"/>
      <c r="AC718" s="32"/>
      <c r="AD718" s="32"/>
      <c r="AE718" s="32"/>
      <c r="AF718" s="32"/>
      <c r="AG718" s="32"/>
    </row>
    <row r="719" ht="46.5" customHeight="1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  <c r="AA719" s="32"/>
      <c r="AB719" s="32"/>
      <c r="AC719" s="32"/>
      <c r="AD719" s="32"/>
      <c r="AE719" s="32"/>
      <c r="AF719" s="32"/>
      <c r="AG719" s="32"/>
    </row>
    <row r="720" ht="46.5" customHeight="1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  <c r="AA720" s="32"/>
      <c r="AB720" s="32"/>
      <c r="AC720" s="32"/>
      <c r="AD720" s="32"/>
      <c r="AE720" s="32"/>
      <c r="AF720" s="32"/>
      <c r="AG720" s="32"/>
    </row>
    <row r="721" ht="46.5" customHeight="1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  <c r="AA721" s="32"/>
      <c r="AB721" s="32"/>
      <c r="AC721" s="32"/>
      <c r="AD721" s="32"/>
      <c r="AE721" s="32"/>
      <c r="AF721" s="32"/>
      <c r="AG721" s="32"/>
    </row>
    <row r="722" ht="46.5" customHeight="1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  <c r="AA722" s="32"/>
      <c r="AB722" s="32"/>
      <c r="AC722" s="32"/>
      <c r="AD722" s="32"/>
      <c r="AE722" s="32"/>
      <c r="AF722" s="32"/>
      <c r="AG722" s="32"/>
    </row>
    <row r="723" ht="46.5" customHeight="1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  <c r="AA723" s="32"/>
      <c r="AB723" s="32"/>
      <c r="AC723" s="32"/>
      <c r="AD723" s="32"/>
      <c r="AE723" s="32"/>
      <c r="AF723" s="32"/>
      <c r="AG723" s="32"/>
    </row>
    <row r="724" ht="46.5" customHeight="1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  <c r="AA724" s="32"/>
      <c r="AB724" s="32"/>
      <c r="AC724" s="32"/>
      <c r="AD724" s="32"/>
      <c r="AE724" s="32"/>
      <c r="AF724" s="32"/>
      <c r="AG724" s="32"/>
    </row>
    <row r="725" ht="46.5" customHeight="1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  <c r="AA725" s="32"/>
      <c r="AB725" s="32"/>
      <c r="AC725" s="32"/>
      <c r="AD725" s="32"/>
      <c r="AE725" s="32"/>
      <c r="AF725" s="32"/>
      <c r="AG725" s="32"/>
    </row>
    <row r="726" ht="46.5" customHeight="1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  <c r="AA726" s="32"/>
      <c r="AB726" s="32"/>
      <c r="AC726" s="32"/>
      <c r="AD726" s="32"/>
      <c r="AE726" s="32"/>
      <c r="AF726" s="32"/>
      <c r="AG726" s="32"/>
    </row>
    <row r="727" ht="46.5" customHeight="1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  <c r="AA727" s="32"/>
      <c r="AB727" s="32"/>
      <c r="AC727" s="32"/>
      <c r="AD727" s="32"/>
      <c r="AE727" s="32"/>
      <c r="AF727" s="32"/>
      <c r="AG727" s="32"/>
    </row>
    <row r="728" ht="46.5" customHeight="1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  <c r="AA728" s="32"/>
      <c r="AB728" s="32"/>
      <c r="AC728" s="32"/>
      <c r="AD728" s="32"/>
      <c r="AE728" s="32"/>
      <c r="AF728" s="32"/>
      <c r="AG728" s="32"/>
    </row>
    <row r="729" ht="46.5" customHeight="1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  <c r="AA729" s="32"/>
      <c r="AB729" s="32"/>
      <c r="AC729" s="32"/>
      <c r="AD729" s="32"/>
      <c r="AE729" s="32"/>
      <c r="AF729" s="32"/>
      <c r="AG729" s="32"/>
    </row>
    <row r="730" ht="46.5" customHeight="1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  <c r="AA730" s="32"/>
      <c r="AB730" s="32"/>
      <c r="AC730" s="32"/>
      <c r="AD730" s="32"/>
      <c r="AE730" s="32"/>
      <c r="AF730" s="32"/>
      <c r="AG730" s="32"/>
    </row>
    <row r="731" ht="46.5" customHeight="1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  <c r="AA731" s="32"/>
      <c r="AB731" s="32"/>
      <c r="AC731" s="32"/>
      <c r="AD731" s="32"/>
      <c r="AE731" s="32"/>
      <c r="AF731" s="32"/>
      <c r="AG731" s="32"/>
    </row>
    <row r="732" ht="46.5" customHeight="1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  <c r="AA732" s="32"/>
      <c r="AB732" s="32"/>
      <c r="AC732" s="32"/>
      <c r="AD732" s="32"/>
      <c r="AE732" s="32"/>
      <c r="AF732" s="32"/>
      <c r="AG732" s="32"/>
    </row>
    <row r="733" ht="46.5" customHeight="1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  <c r="AA733" s="32"/>
      <c r="AB733" s="32"/>
      <c r="AC733" s="32"/>
      <c r="AD733" s="32"/>
      <c r="AE733" s="32"/>
      <c r="AF733" s="32"/>
      <c r="AG733" s="32"/>
    </row>
    <row r="734" ht="46.5" customHeight="1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  <c r="AA734" s="32"/>
      <c r="AB734" s="32"/>
      <c r="AC734" s="32"/>
      <c r="AD734" s="32"/>
      <c r="AE734" s="32"/>
      <c r="AF734" s="32"/>
      <c r="AG734" s="32"/>
    </row>
    <row r="735" ht="46.5" customHeight="1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  <c r="AA735" s="32"/>
      <c r="AB735" s="32"/>
      <c r="AC735" s="32"/>
      <c r="AD735" s="32"/>
      <c r="AE735" s="32"/>
      <c r="AF735" s="32"/>
      <c r="AG735" s="32"/>
    </row>
    <row r="736" ht="46.5" customHeight="1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  <c r="AA736" s="32"/>
      <c r="AB736" s="32"/>
      <c r="AC736" s="32"/>
      <c r="AD736" s="32"/>
      <c r="AE736" s="32"/>
      <c r="AF736" s="32"/>
      <c r="AG736" s="32"/>
    </row>
    <row r="737" ht="46.5" customHeight="1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  <c r="AA737" s="32"/>
      <c r="AB737" s="32"/>
      <c r="AC737" s="32"/>
      <c r="AD737" s="32"/>
      <c r="AE737" s="32"/>
      <c r="AF737" s="32"/>
      <c r="AG737" s="32"/>
    </row>
    <row r="738" ht="46.5" customHeight="1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  <c r="AA738" s="32"/>
      <c r="AB738" s="32"/>
      <c r="AC738" s="32"/>
      <c r="AD738" s="32"/>
      <c r="AE738" s="32"/>
      <c r="AF738" s="32"/>
      <c r="AG738" s="32"/>
    </row>
    <row r="739" ht="46.5" customHeight="1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  <c r="AA739" s="32"/>
      <c r="AB739" s="32"/>
      <c r="AC739" s="32"/>
      <c r="AD739" s="32"/>
      <c r="AE739" s="32"/>
      <c r="AF739" s="32"/>
      <c r="AG739" s="32"/>
    </row>
    <row r="740" ht="46.5" customHeight="1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  <c r="AA740" s="32"/>
      <c r="AB740" s="32"/>
      <c r="AC740" s="32"/>
      <c r="AD740" s="32"/>
      <c r="AE740" s="32"/>
      <c r="AF740" s="32"/>
      <c r="AG740" s="32"/>
    </row>
    <row r="741" ht="46.5" customHeight="1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  <c r="AA741" s="32"/>
      <c r="AB741" s="32"/>
      <c r="AC741" s="32"/>
      <c r="AD741" s="32"/>
      <c r="AE741" s="32"/>
      <c r="AF741" s="32"/>
      <c r="AG741" s="32"/>
    </row>
    <row r="742" ht="46.5" customHeight="1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  <c r="AA742" s="32"/>
      <c r="AB742" s="32"/>
      <c r="AC742" s="32"/>
      <c r="AD742" s="32"/>
      <c r="AE742" s="32"/>
      <c r="AF742" s="32"/>
      <c r="AG742" s="32"/>
    </row>
    <row r="743" ht="46.5" customHeight="1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  <c r="AA743" s="32"/>
      <c r="AB743" s="32"/>
      <c r="AC743" s="32"/>
      <c r="AD743" s="32"/>
      <c r="AE743" s="32"/>
      <c r="AF743" s="32"/>
      <c r="AG743" s="32"/>
    </row>
    <row r="744" ht="46.5" customHeight="1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  <c r="AA744" s="32"/>
      <c r="AB744" s="32"/>
      <c r="AC744" s="32"/>
      <c r="AD744" s="32"/>
      <c r="AE744" s="32"/>
      <c r="AF744" s="32"/>
      <c r="AG744" s="32"/>
    </row>
    <row r="745" ht="46.5" customHeight="1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  <c r="AA745" s="32"/>
      <c r="AB745" s="32"/>
      <c r="AC745" s="32"/>
      <c r="AD745" s="32"/>
      <c r="AE745" s="32"/>
      <c r="AF745" s="32"/>
      <c r="AG745" s="32"/>
    </row>
    <row r="746" ht="46.5" customHeight="1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  <c r="AA746" s="32"/>
      <c r="AB746" s="32"/>
      <c r="AC746" s="32"/>
      <c r="AD746" s="32"/>
      <c r="AE746" s="32"/>
      <c r="AF746" s="32"/>
      <c r="AG746" s="32"/>
    </row>
    <row r="747" ht="46.5" customHeight="1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  <c r="AA747" s="32"/>
      <c r="AB747" s="32"/>
      <c r="AC747" s="32"/>
      <c r="AD747" s="32"/>
      <c r="AE747" s="32"/>
      <c r="AF747" s="32"/>
      <c r="AG747" s="32"/>
    </row>
    <row r="748" ht="46.5" customHeight="1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  <c r="AA748" s="32"/>
      <c r="AB748" s="32"/>
      <c r="AC748" s="32"/>
      <c r="AD748" s="32"/>
      <c r="AE748" s="32"/>
      <c r="AF748" s="32"/>
      <c r="AG748" s="32"/>
    </row>
    <row r="749" ht="46.5" customHeight="1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  <c r="AA749" s="32"/>
      <c r="AB749" s="32"/>
      <c r="AC749" s="32"/>
      <c r="AD749" s="32"/>
      <c r="AE749" s="32"/>
      <c r="AF749" s="32"/>
      <c r="AG749" s="32"/>
    </row>
    <row r="750" ht="46.5" customHeight="1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  <c r="AA750" s="32"/>
      <c r="AB750" s="32"/>
      <c r="AC750" s="32"/>
      <c r="AD750" s="32"/>
      <c r="AE750" s="32"/>
      <c r="AF750" s="32"/>
      <c r="AG750" s="32"/>
    </row>
    <row r="751" ht="46.5" customHeight="1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  <c r="AA751" s="32"/>
      <c r="AB751" s="32"/>
      <c r="AC751" s="32"/>
      <c r="AD751" s="32"/>
      <c r="AE751" s="32"/>
      <c r="AF751" s="32"/>
      <c r="AG751" s="32"/>
    </row>
    <row r="752" ht="46.5" customHeight="1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  <c r="AA752" s="32"/>
      <c r="AB752" s="32"/>
      <c r="AC752" s="32"/>
      <c r="AD752" s="32"/>
      <c r="AE752" s="32"/>
      <c r="AF752" s="32"/>
      <c r="AG752" s="32"/>
    </row>
    <row r="753" ht="46.5" customHeight="1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  <c r="AA753" s="32"/>
      <c r="AB753" s="32"/>
      <c r="AC753" s="32"/>
      <c r="AD753" s="32"/>
      <c r="AE753" s="32"/>
      <c r="AF753" s="32"/>
      <c r="AG753" s="32"/>
    </row>
    <row r="754" ht="46.5" customHeight="1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  <c r="AA754" s="32"/>
      <c r="AB754" s="32"/>
      <c r="AC754" s="32"/>
      <c r="AD754" s="32"/>
      <c r="AE754" s="32"/>
      <c r="AF754" s="32"/>
      <c r="AG754" s="32"/>
    </row>
    <row r="755" ht="46.5" customHeight="1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  <c r="AA755" s="32"/>
      <c r="AB755" s="32"/>
      <c r="AC755" s="32"/>
      <c r="AD755" s="32"/>
      <c r="AE755" s="32"/>
      <c r="AF755" s="32"/>
      <c r="AG755" s="32"/>
    </row>
    <row r="756" ht="46.5" customHeight="1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  <c r="AA756" s="32"/>
      <c r="AB756" s="32"/>
      <c r="AC756" s="32"/>
      <c r="AD756" s="32"/>
      <c r="AE756" s="32"/>
      <c r="AF756" s="32"/>
      <c r="AG756" s="32"/>
    </row>
    <row r="757" ht="46.5" customHeight="1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  <c r="AA757" s="32"/>
      <c r="AB757" s="32"/>
      <c r="AC757" s="32"/>
      <c r="AD757" s="32"/>
      <c r="AE757" s="32"/>
      <c r="AF757" s="32"/>
      <c r="AG757" s="32"/>
    </row>
    <row r="758" ht="46.5" customHeight="1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  <c r="AA758" s="32"/>
      <c r="AB758" s="32"/>
      <c r="AC758" s="32"/>
      <c r="AD758" s="32"/>
      <c r="AE758" s="32"/>
      <c r="AF758" s="32"/>
      <c r="AG758" s="32"/>
    </row>
    <row r="759" ht="46.5" customHeight="1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  <c r="AA759" s="32"/>
      <c r="AB759" s="32"/>
      <c r="AC759" s="32"/>
      <c r="AD759" s="32"/>
      <c r="AE759" s="32"/>
      <c r="AF759" s="32"/>
      <c r="AG759" s="32"/>
    </row>
    <row r="760" ht="46.5" customHeight="1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  <c r="AA760" s="32"/>
      <c r="AB760" s="32"/>
      <c r="AC760" s="32"/>
      <c r="AD760" s="32"/>
      <c r="AE760" s="32"/>
      <c r="AF760" s="32"/>
      <c r="AG760" s="32"/>
    </row>
    <row r="761" ht="46.5" customHeight="1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  <c r="AA761" s="32"/>
      <c r="AB761" s="32"/>
      <c r="AC761" s="32"/>
      <c r="AD761" s="32"/>
      <c r="AE761" s="32"/>
      <c r="AF761" s="32"/>
      <c r="AG761" s="32"/>
    </row>
    <row r="762" ht="46.5" customHeight="1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  <c r="AA762" s="32"/>
      <c r="AB762" s="32"/>
      <c r="AC762" s="32"/>
      <c r="AD762" s="32"/>
      <c r="AE762" s="32"/>
      <c r="AF762" s="32"/>
      <c r="AG762" s="32"/>
    </row>
    <row r="763" ht="46.5" customHeight="1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  <c r="AA763" s="32"/>
      <c r="AB763" s="32"/>
      <c r="AC763" s="32"/>
      <c r="AD763" s="32"/>
      <c r="AE763" s="32"/>
      <c r="AF763" s="32"/>
      <c r="AG763" s="32"/>
    </row>
    <row r="764" ht="46.5" customHeight="1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  <c r="AA764" s="32"/>
      <c r="AB764" s="32"/>
      <c r="AC764" s="32"/>
      <c r="AD764" s="32"/>
      <c r="AE764" s="32"/>
      <c r="AF764" s="32"/>
      <c r="AG764" s="32"/>
    </row>
    <row r="765" ht="46.5" customHeight="1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  <c r="AA765" s="32"/>
      <c r="AB765" s="32"/>
      <c r="AC765" s="32"/>
      <c r="AD765" s="32"/>
      <c r="AE765" s="32"/>
      <c r="AF765" s="32"/>
      <c r="AG765" s="32"/>
    </row>
    <row r="766" ht="46.5" customHeight="1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  <c r="AA766" s="32"/>
      <c r="AB766" s="32"/>
      <c r="AC766" s="32"/>
      <c r="AD766" s="32"/>
      <c r="AE766" s="32"/>
      <c r="AF766" s="32"/>
      <c r="AG766" s="32"/>
    </row>
    <row r="767" ht="46.5" customHeight="1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  <c r="AA767" s="32"/>
      <c r="AB767" s="32"/>
      <c r="AC767" s="32"/>
      <c r="AD767" s="32"/>
      <c r="AE767" s="32"/>
      <c r="AF767" s="32"/>
      <c r="AG767" s="32"/>
    </row>
    <row r="768" ht="46.5" customHeight="1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  <c r="AA768" s="32"/>
      <c r="AB768" s="32"/>
      <c r="AC768" s="32"/>
      <c r="AD768" s="32"/>
      <c r="AE768" s="32"/>
      <c r="AF768" s="32"/>
      <c r="AG768" s="32"/>
    </row>
    <row r="769" ht="46.5" customHeight="1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  <c r="AA769" s="32"/>
      <c r="AB769" s="32"/>
      <c r="AC769" s="32"/>
      <c r="AD769" s="32"/>
      <c r="AE769" s="32"/>
      <c r="AF769" s="32"/>
      <c r="AG769" s="32"/>
    </row>
    <row r="770" ht="46.5" customHeight="1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  <c r="AA770" s="32"/>
      <c r="AB770" s="32"/>
      <c r="AC770" s="32"/>
      <c r="AD770" s="32"/>
      <c r="AE770" s="32"/>
      <c r="AF770" s="32"/>
      <c r="AG770" s="32"/>
    </row>
    <row r="771" ht="46.5" customHeight="1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  <c r="AA771" s="32"/>
      <c r="AB771" s="32"/>
      <c r="AC771" s="32"/>
      <c r="AD771" s="32"/>
      <c r="AE771" s="32"/>
      <c r="AF771" s="32"/>
      <c r="AG771" s="32"/>
    </row>
    <row r="772" ht="46.5" customHeight="1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  <c r="AA772" s="32"/>
      <c r="AB772" s="32"/>
      <c r="AC772" s="32"/>
      <c r="AD772" s="32"/>
      <c r="AE772" s="32"/>
      <c r="AF772" s="32"/>
      <c r="AG772" s="32"/>
    </row>
    <row r="773" ht="46.5" customHeight="1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  <c r="AA773" s="32"/>
      <c r="AB773" s="32"/>
      <c r="AC773" s="32"/>
      <c r="AD773" s="32"/>
      <c r="AE773" s="32"/>
      <c r="AF773" s="32"/>
      <c r="AG773" s="32"/>
    </row>
    <row r="774" ht="46.5" customHeight="1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  <c r="AA774" s="32"/>
      <c r="AB774" s="32"/>
      <c r="AC774" s="32"/>
      <c r="AD774" s="32"/>
      <c r="AE774" s="32"/>
      <c r="AF774" s="32"/>
      <c r="AG774" s="32"/>
    </row>
    <row r="775" ht="46.5" customHeight="1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  <c r="AA775" s="32"/>
      <c r="AB775" s="32"/>
      <c r="AC775" s="32"/>
      <c r="AD775" s="32"/>
      <c r="AE775" s="32"/>
      <c r="AF775" s="32"/>
      <c r="AG775" s="32"/>
    </row>
    <row r="776" ht="46.5" customHeight="1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  <c r="AA776" s="32"/>
      <c r="AB776" s="32"/>
      <c r="AC776" s="32"/>
      <c r="AD776" s="32"/>
      <c r="AE776" s="32"/>
      <c r="AF776" s="32"/>
      <c r="AG776" s="32"/>
    </row>
    <row r="777" ht="46.5" customHeight="1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  <c r="AA777" s="32"/>
      <c r="AB777" s="32"/>
      <c r="AC777" s="32"/>
      <c r="AD777" s="32"/>
      <c r="AE777" s="32"/>
      <c r="AF777" s="32"/>
      <c r="AG777" s="32"/>
    </row>
    <row r="778" ht="46.5" customHeight="1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  <c r="AA778" s="32"/>
      <c r="AB778" s="32"/>
      <c r="AC778" s="32"/>
      <c r="AD778" s="32"/>
      <c r="AE778" s="32"/>
      <c r="AF778" s="32"/>
      <c r="AG778" s="32"/>
    </row>
    <row r="779" ht="46.5" customHeight="1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  <c r="AA779" s="32"/>
      <c r="AB779" s="32"/>
      <c r="AC779" s="32"/>
      <c r="AD779" s="32"/>
      <c r="AE779" s="32"/>
      <c r="AF779" s="32"/>
      <c r="AG779" s="32"/>
    </row>
    <row r="780" ht="46.5" customHeight="1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  <c r="AA780" s="32"/>
      <c r="AB780" s="32"/>
      <c r="AC780" s="32"/>
      <c r="AD780" s="32"/>
      <c r="AE780" s="32"/>
      <c r="AF780" s="32"/>
      <c r="AG780" s="32"/>
    </row>
    <row r="781" ht="46.5" customHeight="1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  <c r="AA781" s="32"/>
      <c r="AB781" s="32"/>
      <c r="AC781" s="32"/>
      <c r="AD781" s="32"/>
      <c r="AE781" s="32"/>
      <c r="AF781" s="32"/>
      <c r="AG781" s="32"/>
    </row>
    <row r="782" ht="46.5" customHeight="1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  <c r="AA782" s="32"/>
      <c r="AB782" s="32"/>
      <c r="AC782" s="32"/>
      <c r="AD782" s="32"/>
      <c r="AE782" s="32"/>
      <c r="AF782" s="32"/>
      <c r="AG782" s="32"/>
    </row>
    <row r="783" ht="46.5" customHeight="1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  <c r="AA783" s="32"/>
      <c r="AB783" s="32"/>
      <c r="AC783" s="32"/>
      <c r="AD783" s="32"/>
      <c r="AE783" s="32"/>
      <c r="AF783" s="32"/>
      <c r="AG783" s="32"/>
    </row>
    <row r="784" ht="46.5" customHeight="1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  <c r="AA784" s="32"/>
      <c r="AB784" s="32"/>
      <c r="AC784" s="32"/>
      <c r="AD784" s="32"/>
      <c r="AE784" s="32"/>
      <c r="AF784" s="32"/>
      <c r="AG784" s="32"/>
    </row>
    <row r="785" ht="46.5" customHeight="1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  <c r="AA785" s="32"/>
      <c r="AB785" s="32"/>
      <c r="AC785" s="32"/>
      <c r="AD785" s="32"/>
      <c r="AE785" s="32"/>
      <c r="AF785" s="32"/>
      <c r="AG785" s="32"/>
    </row>
    <row r="786" ht="46.5" customHeight="1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  <c r="AA786" s="32"/>
      <c r="AB786" s="32"/>
      <c r="AC786" s="32"/>
      <c r="AD786" s="32"/>
      <c r="AE786" s="32"/>
      <c r="AF786" s="32"/>
      <c r="AG786" s="32"/>
    </row>
    <row r="787" ht="46.5" customHeight="1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  <c r="AA787" s="32"/>
      <c r="AB787" s="32"/>
      <c r="AC787" s="32"/>
      <c r="AD787" s="32"/>
      <c r="AE787" s="32"/>
      <c r="AF787" s="32"/>
      <c r="AG787" s="32"/>
    </row>
    <row r="788" ht="46.5" customHeight="1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  <c r="AA788" s="32"/>
      <c r="AB788" s="32"/>
      <c r="AC788" s="32"/>
      <c r="AD788" s="32"/>
      <c r="AE788" s="32"/>
      <c r="AF788" s="32"/>
      <c r="AG788" s="32"/>
    </row>
    <row r="789" ht="46.5" customHeight="1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  <c r="AA789" s="32"/>
      <c r="AB789" s="32"/>
      <c r="AC789" s="32"/>
      <c r="AD789" s="32"/>
      <c r="AE789" s="32"/>
      <c r="AF789" s="32"/>
      <c r="AG789" s="32"/>
    </row>
    <row r="790" ht="46.5" customHeight="1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  <c r="AA790" s="32"/>
      <c r="AB790" s="32"/>
      <c r="AC790" s="32"/>
      <c r="AD790" s="32"/>
      <c r="AE790" s="32"/>
      <c r="AF790" s="32"/>
      <c r="AG790" s="32"/>
    </row>
    <row r="791" ht="46.5" customHeight="1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  <c r="AA791" s="32"/>
      <c r="AB791" s="32"/>
      <c r="AC791" s="32"/>
      <c r="AD791" s="32"/>
      <c r="AE791" s="32"/>
      <c r="AF791" s="32"/>
      <c r="AG791" s="32"/>
    </row>
    <row r="792" ht="46.5" customHeight="1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  <c r="AA792" s="32"/>
      <c r="AB792" s="32"/>
      <c r="AC792" s="32"/>
      <c r="AD792" s="32"/>
      <c r="AE792" s="32"/>
      <c r="AF792" s="32"/>
      <c r="AG792" s="32"/>
    </row>
    <row r="793" ht="46.5" customHeight="1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  <c r="AA793" s="32"/>
      <c r="AB793" s="32"/>
      <c r="AC793" s="32"/>
      <c r="AD793" s="32"/>
      <c r="AE793" s="32"/>
      <c r="AF793" s="32"/>
      <c r="AG793" s="32"/>
    </row>
    <row r="794" ht="46.5" customHeight="1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  <c r="AA794" s="32"/>
      <c r="AB794" s="32"/>
      <c r="AC794" s="32"/>
      <c r="AD794" s="32"/>
      <c r="AE794" s="32"/>
      <c r="AF794" s="32"/>
      <c r="AG794" s="32"/>
    </row>
    <row r="795" ht="46.5" customHeight="1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  <c r="AA795" s="32"/>
      <c r="AB795" s="32"/>
      <c r="AC795" s="32"/>
      <c r="AD795" s="32"/>
      <c r="AE795" s="32"/>
      <c r="AF795" s="32"/>
      <c r="AG795" s="32"/>
    </row>
    <row r="796" ht="46.5" customHeight="1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  <c r="AA796" s="32"/>
      <c r="AB796" s="32"/>
      <c r="AC796" s="32"/>
      <c r="AD796" s="32"/>
      <c r="AE796" s="32"/>
      <c r="AF796" s="32"/>
      <c r="AG796" s="32"/>
    </row>
    <row r="797" ht="46.5" customHeight="1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  <c r="AA797" s="32"/>
      <c r="AB797" s="32"/>
      <c r="AC797" s="32"/>
      <c r="AD797" s="32"/>
      <c r="AE797" s="32"/>
      <c r="AF797" s="32"/>
      <c r="AG797" s="32"/>
    </row>
    <row r="798" ht="46.5" customHeight="1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  <c r="AA798" s="32"/>
      <c r="AB798" s="32"/>
      <c r="AC798" s="32"/>
      <c r="AD798" s="32"/>
      <c r="AE798" s="32"/>
      <c r="AF798" s="32"/>
      <c r="AG798" s="32"/>
    </row>
    <row r="799" ht="46.5" customHeight="1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  <c r="AA799" s="32"/>
      <c r="AB799" s="32"/>
      <c r="AC799" s="32"/>
      <c r="AD799" s="32"/>
      <c r="AE799" s="32"/>
      <c r="AF799" s="32"/>
      <c r="AG799" s="32"/>
    </row>
    <row r="800" ht="46.5" customHeight="1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  <c r="AA800" s="32"/>
      <c r="AB800" s="32"/>
      <c r="AC800" s="32"/>
      <c r="AD800" s="32"/>
      <c r="AE800" s="32"/>
      <c r="AF800" s="32"/>
      <c r="AG800" s="32"/>
    </row>
    <row r="801" ht="46.5" customHeight="1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  <c r="AA801" s="32"/>
      <c r="AB801" s="32"/>
      <c r="AC801" s="32"/>
      <c r="AD801" s="32"/>
      <c r="AE801" s="32"/>
      <c r="AF801" s="32"/>
      <c r="AG801" s="32"/>
    </row>
    <row r="802" ht="46.5" customHeight="1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  <c r="AA802" s="32"/>
      <c r="AB802" s="32"/>
      <c r="AC802" s="32"/>
      <c r="AD802" s="32"/>
      <c r="AE802" s="32"/>
      <c r="AF802" s="32"/>
      <c r="AG802" s="32"/>
    </row>
    <row r="803" ht="46.5" customHeight="1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  <c r="AA803" s="32"/>
      <c r="AB803" s="32"/>
      <c r="AC803" s="32"/>
      <c r="AD803" s="32"/>
      <c r="AE803" s="32"/>
      <c r="AF803" s="32"/>
      <c r="AG803" s="32"/>
    </row>
    <row r="804" ht="46.5" customHeight="1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  <c r="AA804" s="32"/>
      <c r="AB804" s="32"/>
      <c r="AC804" s="32"/>
      <c r="AD804" s="32"/>
      <c r="AE804" s="32"/>
      <c r="AF804" s="32"/>
      <c r="AG804" s="32"/>
    </row>
    <row r="805" ht="46.5" customHeight="1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  <c r="AA805" s="32"/>
      <c r="AB805" s="32"/>
      <c r="AC805" s="32"/>
      <c r="AD805" s="32"/>
      <c r="AE805" s="32"/>
      <c r="AF805" s="32"/>
      <c r="AG805" s="32"/>
    </row>
    <row r="806" ht="46.5" customHeight="1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  <c r="AA806" s="32"/>
      <c r="AB806" s="32"/>
      <c r="AC806" s="32"/>
      <c r="AD806" s="32"/>
      <c r="AE806" s="32"/>
      <c r="AF806" s="32"/>
      <c r="AG806" s="32"/>
    </row>
    <row r="807" ht="46.5" customHeight="1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  <c r="AA807" s="32"/>
      <c r="AB807" s="32"/>
      <c r="AC807" s="32"/>
      <c r="AD807" s="32"/>
      <c r="AE807" s="32"/>
      <c r="AF807" s="32"/>
      <c r="AG807" s="32"/>
    </row>
    <row r="808" ht="46.5" customHeight="1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  <c r="AA808" s="32"/>
      <c r="AB808" s="32"/>
      <c r="AC808" s="32"/>
      <c r="AD808" s="32"/>
      <c r="AE808" s="32"/>
      <c r="AF808" s="32"/>
      <c r="AG808" s="32"/>
    </row>
    <row r="809" ht="46.5" customHeight="1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  <c r="AA809" s="32"/>
      <c r="AB809" s="32"/>
      <c r="AC809" s="32"/>
      <c r="AD809" s="32"/>
      <c r="AE809" s="32"/>
      <c r="AF809" s="32"/>
      <c r="AG809" s="32"/>
    </row>
    <row r="810" ht="46.5" customHeight="1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  <c r="AA810" s="32"/>
      <c r="AB810" s="32"/>
      <c r="AC810" s="32"/>
      <c r="AD810" s="32"/>
      <c r="AE810" s="32"/>
      <c r="AF810" s="32"/>
      <c r="AG810" s="32"/>
    </row>
    <row r="811" ht="46.5" customHeight="1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  <c r="AA811" s="32"/>
      <c r="AB811" s="32"/>
      <c r="AC811" s="32"/>
      <c r="AD811" s="32"/>
      <c r="AE811" s="32"/>
      <c r="AF811" s="32"/>
      <c r="AG811" s="32"/>
    </row>
    <row r="812" ht="46.5" customHeight="1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  <c r="AA812" s="32"/>
      <c r="AB812" s="32"/>
      <c r="AC812" s="32"/>
      <c r="AD812" s="32"/>
      <c r="AE812" s="32"/>
      <c r="AF812" s="32"/>
      <c r="AG812" s="32"/>
    </row>
    <row r="813" ht="46.5" customHeight="1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  <c r="AA813" s="32"/>
      <c r="AB813" s="32"/>
      <c r="AC813" s="32"/>
      <c r="AD813" s="32"/>
      <c r="AE813" s="32"/>
      <c r="AF813" s="32"/>
      <c r="AG813" s="32"/>
    </row>
    <row r="814" ht="46.5" customHeight="1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  <c r="AA814" s="32"/>
      <c r="AB814" s="32"/>
      <c r="AC814" s="32"/>
      <c r="AD814" s="32"/>
      <c r="AE814" s="32"/>
      <c r="AF814" s="32"/>
      <c r="AG814" s="32"/>
    </row>
    <row r="815" ht="46.5" customHeight="1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  <c r="AA815" s="32"/>
      <c r="AB815" s="32"/>
      <c r="AC815" s="32"/>
      <c r="AD815" s="32"/>
      <c r="AE815" s="32"/>
      <c r="AF815" s="32"/>
      <c r="AG815" s="32"/>
    </row>
    <row r="816" ht="46.5" customHeight="1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  <c r="AA816" s="32"/>
      <c r="AB816" s="32"/>
      <c r="AC816" s="32"/>
      <c r="AD816" s="32"/>
      <c r="AE816" s="32"/>
      <c r="AF816" s="32"/>
      <c r="AG816" s="32"/>
    </row>
    <row r="817" ht="46.5" customHeight="1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  <c r="AA817" s="32"/>
      <c r="AB817" s="32"/>
      <c r="AC817" s="32"/>
      <c r="AD817" s="32"/>
      <c r="AE817" s="32"/>
      <c r="AF817" s="32"/>
      <c r="AG817" s="32"/>
    </row>
    <row r="818" ht="46.5" customHeight="1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  <c r="AA818" s="32"/>
      <c r="AB818" s="32"/>
      <c r="AC818" s="32"/>
      <c r="AD818" s="32"/>
      <c r="AE818" s="32"/>
      <c r="AF818" s="32"/>
      <c r="AG818" s="32"/>
    </row>
    <row r="819" ht="46.5" customHeight="1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  <c r="AA819" s="32"/>
      <c r="AB819" s="32"/>
      <c r="AC819" s="32"/>
      <c r="AD819" s="32"/>
      <c r="AE819" s="32"/>
      <c r="AF819" s="32"/>
      <c r="AG819" s="32"/>
    </row>
    <row r="820" ht="46.5" customHeight="1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  <c r="AA820" s="32"/>
      <c r="AB820" s="32"/>
      <c r="AC820" s="32"/>
      <c r="AD820" s="32"/>
      <c r="AE820" s="32"/>
      <c r="AF820" s="32"/>
      <c r="AG820" s="32"/>
    </row>
    <row r="821" ht="46.5" customHeight="1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  <c r="AA821" s="32"/>
      <c r="AB821" s="32"/>
      <c r="AC821" s="32"/>
      <c r="AD821" s="32"/>
      <c r="AE821" s="32"/>
      <c r="AF821" s="32"/>
      <c r="AG821" s="32"/>
    </row>
    <row r="822" ht="46.5" customHeight="1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  <c r="AA822" s="32"/>
      <c r="AB822" s="32"/>
      <c r="AC822" s="32"/>
      <c r="AD822" s="32"/>
      <c r="AE822" s="32"/>
      <c r="AF822" s="32"/>
      <c r="AG822" s="32"/>
    </row>
    <row r="823" ht="46.5" customHeight="1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  <c r="AA823" s="32"/>
      <c r="AB823" s="32"/>
      <c r="AC823" s="32"/>
      <c r="AD823" s="32"/>
      <c r="AE823" s="32"/>
      <c r="AF823" s="32"/>
      <c r="AG823" s="32"/>
    </row>
    <row r="824" ht="46.5" customHeight="1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  <c r="AA824" s="32"/>
      <c r="AB824" s="32"/>
      <c r="AC824" s="32"/>
      <c r="AD824" s="32"/>
      <c r="AE824" s="32"/>
      <c r="AF824" s="32"/>
      <c r="AG824" s="32"/>
    </row>
    <row r="825" ht="46.5" customHeight="1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  <c r="AA825" s="32"/>
      <c r="AB825" s="32"/>
      <c r="AC825" s="32"/>
      <c r="AD825" s="32"/>
      <c r="AE825" s="32"/>
      <c r="AF825" s="32"/>
      <c r="AG825" s="32"/>
    </row>
    <row r="826" ht="46.5" customHeight="1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  <c r="AA826" s="32"/>
      <c r="AB826" s="32"/>
      <c r="AC826" s="32"/>
      <c r="AD826" s="32"/>
      <c r="AE826" s="32"/>
      <c r="AF826" s="32"/>
      <c r="AG826" s="32"/>
    </row>
    <row r="827" ht="46.5" customHeight="1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  <c r="AA827" s="32"/>
      <c r="AB827" s="32"/>
      <c r="AC827" s="32"/>
      <c r="AD827" s="32"/>
      <c r="AE827" s="32"/>
      <c r="AF827" s="32"/>
      <c r="AG827" s="32"/>
    </row>
    <row r="828" ht="46.5" customHeight="1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  <c r="AA828" s="32"/>
      <c r="AB828" s="32"/>
      <c r="AC828" s="32"/>
      <c r="AD828" s="32"/>
      <c r="AE828" s="32"/>
      <c r="AF828" s="32"/>
      <c r="AG828" s="32"/>
    </row>
    <row r="829" ht="46.5" customHeight="1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  <c r="AA829" s="32"/>
      <c r="AB829" s="32"/>
      <c r="AC829" s="32"/>
      <c r="AD829" s="32"/>
      <c r="AE829" s="32"/>
      <c r="AF829" s="32"/>
      <c r="AG829" s="32"/>
    </row>
    <row r="830" ht="46.5" customHeight="1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  <c r="AA830" s="32"/>
      <c r="AB830" s="32"/>
      <c r="AC830" s="32"/>
      <c r="AD830" s="32"/>
      <c r="AE830" s="32"/>
      <c r="AF830" s="32"/>
      <c r="AG830" s="32"/>
    </row>
    <row r="831" ht="46.5" customHeight="1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  <c r="AA831" s="32"/>
      <c r="AB831" s="32"/>
      <c r="AC831" s="32"/>
      <c r="AD831" s="32"/>
      <c r="AE831" s="32"/>
      <c r="AF831" s="32"/>
      <c r="AG831" s="32"/>
    </row>
    <row r="832" ht="46.5" customHeight="1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  <c r="AA832" s="32"/>
      <c r="AB832" s="32"/>
      <c r="AC832" s="32"/>
      <c r="AD832" s="32"/>
      <c r="AE832" s="32"/>
      <c r="AF832" s="32"/>
      <c r="AG832" s="32"/>
    </row>
    <row r="833" ht="46.5" customHeight="1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  <c r="AA833" s="32"/>
      <c r="AB833" s="32"/>
      <c r="AC833" s="32"/>
      <c r="AD833" s="32"/>
      <c r="AE833" s="32"/>
      <c r="AF833" s="32"/>
      <c r="AG833" s="32"/>
    </row>
    <row r="834" ht="46.5" customHeight="1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  <c r="AA834" s="32"/>
      <c r="AB834" s="32"/>
      <c r="AC834" s="32"/>
      <c r="AD834" s="32"/>
      <c r="AE834" s="32"/>
      <c r="AF834" s="32"/>
      <c r="AG834" s="32"/>
    </row>
    <row r="835" ht="46.5" customHeight="1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  <c r="AA835" s="32"/>
      <c r="AB835" s="32"/>
      <c r="AC835" s="32"/>
      <c r="AD835" s="32"/>
      <c r="AE835" s="32"/>
      <c r="AF835" s="32"/>
      <c r="AG835" s="32"/>
    </row>
    <row r="836" ht="46.5" customHeight="1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  <c r="AA836" s="32"/>
      <c r="AB836" s="32"/>
      <c r="AC836" s="32"/>
      <c r="AD836" s="32"/>
      <c r="AE836" s="32"/>
      <c r="AF836" s="32"/>
      <c r="AG836" s="32"/>
    </row>
    <row r="837" ht="46.5" customHeight="1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  <c r="AA837" s="32"/>
      <c r="AB837" s="32"/>
      <c r="AC837" s="32"/>
      <c r="AD837" s="32"/>
      <c r="AE837" s="32"/>
      <c r="AF837" s="32"/>
      <c r="AG837" s="32"/>
    </row>
    <row r="838" ht="46.5" customHeight="1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  <c r="AA838" s="32"/>
      <c r="AB838" s="32"/>
      <c r="AC838" s="32"/>
      <c r="AD838" s="32"/>
      <c r="AE838" s="32"/>
      <c r="AF838" s="32"/>
      <c r="AG838" s="32"/>
    </row>
    <row r="839" ht="46.5" customHeight="1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  <c r="AA839" s="32"/>
      <c r="AB839" s="32"/>
      <c r="AC839" s="32"/>
      <c r="AD839" s="32"/>
      <c r="AE839" s="32"/>
      <c r="AF839" s="32"/>
      <c r="AG839" s="32"/>
    </row>
    <row r="840" ht="46.5" customHeight="1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  <c r="AA840" s="32"/>
      <c r="AB840" s="32"/>
      <c r="AC840" s="32"/>
      <c r="AD840" s="32"/>
      <c r="AE840" s="32"/>
      <c r="AF840" s="32"/>
      <c r="AG840" s="32"/>
    </row>
    <row r="841" ht="46.5" customHeight="1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  <c r="AA841" s="32"/>
      <c r="AB841" s="32"/>
      <c r="AC841" s="32"/>
      <c r="AD841" s="32"/>
      <c r="AE841" s="32"/>
      <c r="AF841" s="32"/>
      <c r="AG841" s="32"/>
    </row>
    <row r="842" ht="46.5" customHeight="1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  <c r="AA842" s="32"/>
      <c r="AB842" s="32"/>
      <c r="AC842" s="32"/>
      <c r="AD842" s="32"/>
      <c r="AE842" s="32"/>
      <c r="AF842" s="32"/>
      <c r="AG842" s="32"/>
    </row>
    <row r="843" ht="46.5" customHeight="1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  <c r="AA843" s="32"/>
      <c r="AB843" s="32"/>
      <c r="AC843" s="32"/>
      <c r="AD843" s="32"/>
      <c r="AE843" s="32"/>
      <c r="AF843" s="32"/>
      <c r="AG843" s="32"/>
    </row>
    <row r="844" ht="46.5" customHeight="1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  <c r="AA844" s="32"/>
      <c r="AB844" s="32"/>
      <c r="AC844" s="32"/>
      <c r="AD844" s="32"/>
      <c r="AE844" s="32"/>
      <c r="AF844" s="32"/>
      <c r="AG844" s="32"/>
    </row>
    <row r="845" ht="46.5" customHeight="1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  <c r="AA845" s="32"/>
      <c r="AB845" s="32"/>
      <c r="AC845" s="32"/>
      <c r="AD845" s="32"/>
      <c r="AE845" s="32"/>
      <c r="AF845" s="32"/>
      <c r="AG845" s="32"/>
    </row>
    <row r="846" ht="46.5" customHeight="1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  <c r="AA846" s="32"/>
      <c r="AB846" s="32"/>
      <c r="AC846" s="32"/>
      <c r="AD846" s="32"/>
      <c r="AE846" s="32"/>
      <c r="AF846" s="32"/>
      <c r="AG846" s="32"/>
    </row>
    <row r="847" ht="46.5" customHeight="1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  <c r="AA847" s="32"/>
      <c r="AB847" s="32"/>
      <c r="AC847" s="32"/>
      <c r="AD847" s="32"/>
      <c r="AE847" s="32"/>
      <c r="AF847" s="32"/>
      <c r="AG847" s="32"/>
    </row>
    <row r="848" ht="46.5" customHeight="1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  <c r="AA848" s="32"/>
      <c r="AB848" s="32"/>
      <c r="AC848" s="32"/>
      <c r="AD848" s="32"/>
      <c r="AE848" s="32"/>
      <c r="AF848" s="32"/>
      <c r="AG848" s="32"/>
    </row>
    <row r="849" ht="46.5" customHeight="1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  <c r="AA849" s="32"/>
      <c r="AB849" s="32"/>
      <c r="AC849" s="32"/>
      <c r="AD849" s="32"/>
      <c r="AE849" s="32"/>
      <c r="AF849" s="32"/>
      <c r="AG849" s="32"/>
    </row>
    <row r="850" ht="46.5" customHeight="1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  <c r="AA850" s="32"/>
      <c r="AB850" s="32"/>
      <c r="AC850" s="32"/>
      <c r="AD850" s="32"/>
      <c r="AE850" s="32"/>
      <c r="AF850" s="32"/>
      <c r="AG850" s="32"/>
    </row>
    <row r="851" ht="46.5" customHeight="1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  <c r="AA851" s="32"/>
      <c r="AB851" s="32"/>
      <c r="AC851" s="32"/>
      <c r="AD851" s="32"/>
      <c r="AE851" s="32"/>
      <c r="AF851" s="32"/>
      <c r="AG851" s="32"/>
    </row>
    <row r="852" ht="46.5" customHeight="1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  <c r="AA852" s="32"/>
      <c r="AB852" s="32"/>
      <c r="AC852" s="32"/>
      <c r="AD852" s="32"/>
      <c r="AE852" s="32"/>
      <c r="AF852" s="32"/>
      <c r="AG852" s="32"/>
    </row>
    <row r="853" ht="46.5" customHeight="1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  <c r="AA853" s="32"/>
      <c r="AB853" s="32"/>
      <c r="AC853" s="32"/>
      <c r="AD853" s="32"/>
      <c r="AE853" s="32"/>
      <c r="AF853" s="32"/>
      <c r="AG853" s="32"/>
    </row>
    <row r="854" ht="46.5" customHeight="1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  <c r="AA854" s="32"/>
      <c r="AB854" s="32"/>
      <c r="AC854" s="32"/>
      <c r="AD854" s="32"/>
      <c r="AE854" s="32"/>
      <c r="AF854" s="32"/>
      <c r="AG854" s="32"/>
    </row>
    <row r="855" ht="46.5" customHeight="1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  <c r="AA855" s="32"/>
      <c r="AB855" s="32"/>
      <c r="AC855" s="32"/>
      <c r="AD855" s="32"/>
      <c r="AE855" s="32"/>
      <c r="AF855" s="32"/>
      <c r="AG855" s="32"/>
    </row>
    <row r="856" ht="46.5" customHeight="1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  <c r="AA856" s="32"/>
      <c r="AB856" s="32"/>
      <c r="AC856" s="32"/>
      <c r="AD856" s="32"/>
      <c r="AE856" s="32"/>
      <c r="AF856" s="32"/>
      <c r="AG856" s="32"/>
    </row>
    <row r="857" ht="46.5" customHeight="1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  <c r="AA857" s="32"/>
      <c r="AB857" s="32"/>
      <c r="AC857" s="32"/>
      <c r="AD857" s="32"/>
      <c r="AE857" s="32"/>
      <c r="AF857" s="32"/>
      <c r="AG857" s="32"/>
    </row>
    <row r="858" ht="46.5" customHeight="1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  <c r="AA858" s="32"/>
      <c r="AB858" s="32"/>
      <c r="AC858" s="32"/>
      <c r="AD858" s="32"/>
      <c r="AE858" s="32"/>
      <c r="AF858" s="32"/>
      <c r="AG858" s="32"/>
    </row>
    <row r="859" ht="46.5" customHeight="1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  <c r="AA859" s="32"/>
      <c r="AB859" s="32"/>
      <c r="AC859" s="32"/>
      <c r="AD859" s="32"/>
      <c r="AE859" s="32"/>
      <c r="AF859" s="32"/>
      <c r="AG859" s="32"/>
    </row>
    <row r="860" ht="46.5" customHeight="1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  <c r="AA860" s="32"/>
      <c r="AB860" s="32"/>
      <c r="AC860" s="32"/>
      <c r="AD860" s="32"/>
      <c r="AE860" s="32"/>
      <c r="AF860" s="32"/>
      <c r="AG860" s="32"/>
    </row>
    <row r="861" ht="46.5" customHeight="1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  <c r="AA861" s="32"/>
      <c r="AB861" s="32"/>
      <c r="AC861" s="32"/>
      <c r="AD861" s="32"/>
      <c r="AE861" s="32"/>
      <c r="AF861" s="32"/>
      <c r="AG861" s="32"/>
    </row>
    <row r="862" ht="46.5" customHeight="1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  <c r="AA862" s="32"/>
      <c r="AB862" s="32"/>
      <c r="AC862" s="32"/>
      <c r="AD862" s="32"/>
      <c r="AE862" s="32"/>
      <c r="AF862" s="32"/>
      <c r="AG862" s="32"/>
    </row>
    <row r="863" ht="46.5" customHeight="1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  <c r="AA863" s="32"/>
      <c r="AB863" s="32"/>
      <c r="AC863" s="32"/>
      <c r="AD863" s="32"/>
      <c r="AE863" s="32"/>
      <c r="AF863" s="32"/>
      <c r="AG863" s="32"/>
    </row>
    <row r="864" ht="46.5" customHeight="1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  <c r="AA864" s="32"/>
      <c r="AB864" s="32"/>
      <c r="AC864" s="32"/>
      <c r="AD864" s="32"/>
      <c r="AE864" s="32"/>
      <c r="AF864" s="32"/>
      <c r="AG864" s="32"/>
    </row>
    <row r="865" ht="46.5" customHeight="1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  <c r="AA865" s="32"/>
      <c r="AB865" s="32"/>
      <c r="AC865" s="32"/>
      <c r="AD865" s="32"/>
      <c r="AE865" s="32"/>
      <c r="AF865" s="32"/>
      <c r="AG865" s="32"/>
    </row>
    <row r="866" ht="46.5" customHeight="1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  <c r="AA866" s="32"/>
      <c r="AB866" s="32"/>
      <c r="AC866" s="32"/>
      <c r="AD866" s="32"/>
      <c r="AE866" s="32"/>
      <c r="AF866" s="32"/>
      <c r="AG866" s="32"/>
    </row>
    <row r="867" ht="46.5" customHeight="1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  <c r="AA867" s="32"/>
      <c r="AB867" s="32"/>
      <c r="AC867" s="32"/>
      <c r="AD867" s="32"/>
      <c r="AE867" s="32"/>
      <c r="AF867" s="32"/>
      <c r="AG867" s="32"/>
    </row>
    <row r="868" ht="46.5" customHeight="1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  <c r="AA868" s="32"/>
      <c r="AB868" s="32"/>
      <c r="AC868" s="32"/>
      <c r="AD868" s="32"/>
      <c r="AE868" s="32"/>
      <c r="AF868" s="32"/>
      <c r="AG868" s="32"/>
    </row>
    <row r="869" ht="46.5" customHeight="1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  <c r="AA869" s="32"/>
      <c r="AB869" s="32"/>
      <c r="AC869" s="32"/>
      <c r="AD869" s="32"/>
      <c r="AE869" s="32"/>
      <c r="AF869" s="32"/>
      <c r="AG869" s="32"/>
    </row>
    <row r="870" ht="46.5" customHeight="1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  <c r="AA870" s="32"/>
      <c r="AB870" s="32"/>
      <c r="AC870" s="32"/>
      <c r="AD870" s="32"/>
      <c r="AE870" s="32"/>
      <c r="AF870" s="32"/>
      <c r="AG870" s="32"/>
    </row>
    <row r="871" ht="46.5" customHeight="1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  <c r="AA871" s="32"/>
      <c r="AB871" s="32"/>
      <c r="AC871" s="32"/>
      <c r="AD871" s="32"/>
      <c r="AE871" s="32"/>
      <c r="AF871" s="32"/>
      <c r="AG871" s="32"/>
    </row>
    <row r="872" ht="46.5" customHeight="1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  <c r="AA872" s="32"/>
      <c r="AB872" s="32"/>
      <c r="AC872" s="32"/>
      <c r="AD872" s="32"/>
      <c r="AE872" s="32"/>
      <c r="AF872" s="32"/>
      <c r="AG872" s="32"/>
    </row>
    <row r="873" ht="46.5" customHeight="1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  <c r="AA873" s="32"/>
      <c r="AB873" s="32"/>
      <c r="AC873" s="32"/>
      <c r="AD873" s="32"/>
      <c r="AE873" s="32"/>
      <c r="AF873" s="32"/>
      <c r="AG873" s="32"/>
    </row>
    <row r="874" ht="46.5" customHeight="1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  <c r="AA874" s="32"/>
      <c r="AB874" s="32"/>
      <c r="AC874" s="32"/>
      <c r="AD874" s="32"/>
      <c r="AE874" s="32"/>
      <c r="AF874" s="32"/>
      <c r="AG874" s="32"/>
    </row>
    <row r="875" ht="46.5" customHeight="1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  <c r="AA875" s="32"/>
      <c r="AB875" s="32"/>
      <c r="AC875" s="32"/>
      <c r="AD875" s="32"/>
      <c r="AE875" s="32"/>
      <c r="AF875" s="32"/>
      <c r="AG875" s="32"/>
    </row>
    <row r="876" ht="46.5" customHeight="1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  <c r="AA876" s="32"/>
      <c r="AB876" s="32"/>
      <c r="AC876" s="32"/>
      <c r="AD876" s="32"/>
      <c r="AE876" s="32"/>
      <c r="AF876" s="32"/>
      <c r="AG876" s="32"/>
    </row>
    <row r="877" ht="46.5" customHeight="1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  <c r="AA877" s="32"/>
      <c r="AB877" s="32"/>
      <c r="AC877" s="32"/>
      <c r="AD877" s="32"/>
      <c r="AE877" s="32"/>
      <c r="AF877" s="32"/>
      <c r="AG877" s="32"/>
    </row>
    <row r="878" ht="46.5" customHeight="1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  <c r="AA878" s="32"/>
      <c r="AB878" s="32"/>
      <c r="AC878" s="32"/>
      <c r="AD878" s="32"/>
      <c r="AE878" s="32"/>
      <c r="AF878" s="32"/>
      <c r="AG878" s="32"/>
    </row>
    <row r="879" ht="46.5" customHeight="1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  <c r="AA879" s="32"/>
      <c r="AB879" s="32"/>
      <c r="AC879" s="32"/>
      <c r="AD879" s="32"/>
      <c r="AE879" s="32"/>
      <c r="AF879" s="32"/>
      <c r="AG879" s="32"/>
    </row>
    <row r="880" ht="46.5" customHeight="1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  <c r="AA880" s="32"/>
      <c r="AB880" s="32"/>
      <c r="AC880" s="32"/>
      <c r="AD880" s="32"/>
      <c r="AE880" s="32"/>
      <c r="AF880" s="32"/>
      <c r="AG880" s="32"/>
    </row>
    <row r="881" ht="46.5" customHeight="1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  <c r="AA881" s="32"/>
      <c r="AB881" s="32"/>
      <c r="AC881" s="32"/>
      <c r="AD881" s="32"/>
      <c r="AE881" s="32"/>
      <c r="AF881" s="32"/>
      <c r="AG881" s="32"/>
    </row>
    <row r="882" ht="46.5" customHeight="1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  <c r="AA882" s="32"/>
      <c r="AB882" s="32"/>
      <c r="AC882" s="32"/>
      <c r="AD882" s="32"/>
      <c r="AE882" s="32"/>
      <c r="AF882" s="32"/>
      <c r="AG882" s="32"/>
    </row>
    <row r="883" ht="46.5" customHeight="1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  <c r="AA883" s="32"/>
      <c r="AB883" s="32"/>
      <c r="AC883" s="32"/>
      <c r="AD883" s="32"/>
      <c r="AE883" s="32"/>
      <c r="AF883" s="32"/>
      <c r="AG883" s="32"/>
    </row>
    <row r="884" ht="46.5" customHeight="1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  <c r="AA884" s="32"/>
      <c r="AB884" s="32"/>
      <c r="AC884" s="32"/>
      <c r="AD884" s="32"/>
      <c r="AE884" s="32"/>
      <c r="AF884" s="32"/>
      <c r="AG884" s="32"/>
    </row>
    <row r="885" ht="46.5" customHeight="1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  <c r="AA885" s="32"/>
      <c r="AB885" s="32"/>
      <c r="AC885" s="32"/>
      <c r="AD885" s="32"/>
      <c r="AE885" s="32"/>
      <c r="AF885" s="32"/>
      <c r="AG885" s="32"/>
    </row>
    <row r="886" ht="46.5" customHeight="1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  <c r="AA886" s="32"/>
      <c r="AB886" s="32"/>
      <c r="AC886" s="32"/>
      <c r="AD886" s="32"/>
      <c r="AE886" s="32"/>
      <c r="AF886" s="32"/>
      <c r="AG886" s="32"/>
    </row>
    <row r="887" ht="46.5" customHeight="1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  <c r="AA887" s="32"/>
      <c r="AB887" s="32"/>
      <c r="AC887" s="32"/>
      <c r="AD887" s="32"/>
      <c r="AE887" s="32"/>
      <c r="AF887" s="32"/>
      <c r="AG887" s="32"/>
    </row>
    <row r="888" ht="46.5" customHeight="1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  <c r="AA888" s="32"/>
      <c r="AB888" s="32"/>
      <c r="AC888" s="32"/>
      <c r="AD888" s="32"/>
      <c r="AE888" s="32"/>
      <c r="AF888" s="32"/>
      <c r="AG888" s="32"/>
    </row>
    <row r="889" ht="46.5" customHeight="1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  <c r="AA889" s="32"/>
      <c r="AB889" s="32"/>
      <c r="AC889" s="32"/>
      <c r="AD889" s="32"/>
      <c r="AE889" s="32"/>
      <c r="AF889" s="32"/>
      <c r="AG889" s="32"/>
    </row>
    <row r="890" ht="46.5" customHeight="1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  <c r="AA890" s="32"/>
      <c r="AB890" s="32"/>
      <c r="AC890" s="32"/>
      <c r="AD890" s="32"/>
      <c r="AE890" s="32"/>
      <c r="AF890" s="32"/>
      <c r="AG890" s="32"/>
    </row>
    <row r="891" ht="46.5" customHeight="1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  <c r="AA891" s="32"/>
      <c r="AB891" s="32"/>
      <c r="AC891" s="32"/>
      <c r="AD891" s="32"/>
      <c r="AE891" s="32"/>
      <c r="AF891" s="32"/>
      <c r="AG891" s="32"/>
    </row>
    <row r="892" ht="46.5" customHeight="1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  <c r="AA892" s="32"/>
      <c r="AB892" s="32"/>
      <c r="AC892" s="32"/>
      <c r="AD892" s="32"/>
      <c r="AE892" s="32"/>
      <c r="AF892" s="32"/>
      <c r="AG892" s="32"/>
    </row>
    <row r="893" ht="46.5" customHeight="1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  <c r="AA893" s="32"/>
      <c r="AB893" s="32"/>
      <c r="AC893" s="32"/>
      <c r="AD893" s="32"/>
      <c r="AE893" s="32"/>
      <c r="AF893" s="32"/>
      <c r="AG893" s="32"/>
    </row>
    <row r="894" ht="46.5" customHeight="1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  <c r="AA894" s="32"/>
      <c r="AB894" s="32"/>
      <c r="AC894" s="32"/>
      <c r="AD894" s="32"/>
      <c r="AE894" s="32"/>
      <c r="AF894" s="32"/>
      <c r="AG894" s="32"/>
    </row>
    <row r="895" ht="46.5" customHeight="1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  <c r="AA895" s="32"/>
      <c r="AB895" s="32"/>
      <c r="AC895" s="32"/>
      <c r="AD895" s="32"/>
      <c r="AE895" s="32"/>
      <c r="AF895" s="32"/>
      <c r="AG895" s="32"/>
    </row>
    <row r="896" ht="46.5" customHeight="1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  <c r="AA896" s="32"/>
      <c r="AB896" s="32"/>
      <c r="AC896" s="32"/>
      <c r="AD896" s="32"/>
      <c r="AE896" s="32"/>
      <c r="AF896" s="32"/>
      <c r="AG896" s="32"/>
    </row>
    <row r="897" ht="46.5" customHeight="1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  <c r="AA897" s="32"/>
      <c r="AB897" s="32"/>
      <c r="AC897" s="32"/>
      <c r="AD897" s="32"/>
      <c r="AE897" s="32"/>
      <c r="AF897" s="32"/>
      <c r="AG897" s="32"/>
    </row>
    <row r="898" ht="46.5" customHeight="1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  <c r="AA898" s="32"/>
      <c r="AB898" s="32"/>
      <c r="AC898" s="32"/>
      <c r="AD898" s="32"/>
      <c r="AE898" s="32"/>
      <c r="AF898" s="32"/>
      <c r="AG898" s="32"/>
    </row>
    <row r="899" ht="46.5" customHeight="1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  <c r="AA899" s="32"/>
      <c r="AB899" s="32"/>
      <c r="AC899" s="32"/>
      <c r="AD899" s="32"/>
      <c r="AE899" s="32"/>
      <c r="AF899" s="32"/>
      <c r="AG899" s="32"/>
    </row>
    <row r="900" ht="46.5" customHeight="1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  <c r="AA900" s="32"/>
      <c r="AB900" s="32"/>
      <c r="AC900" s="32"/>
      <c r="AD900" s="32"/>
      <c r="AE900" s="32"/>
      <c r="AF900" s="32"/>
      <c r="AG900" s="32"/>
    </row>
    <row r="901" ht="46.5" customHeight="1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  <c r="AA901" s="32"/>
      <c r="AB901" s="32"/>
      <c r="AC901" s="32"/>
      <c r="AD901" s="32"/>
      <c r="AE901" s="32"/>
      <c r="AF901" s="32"/>
      <c r="AG901" s="32"/>
    </row>
    <row r="902" ht="46.5" customHeight="1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  <c r="AA902" s="32"/>
      <c r="AB902" s="32"/>
      <c r="AC902" s="32"/>
      <c r="AD902" s="32"/>
      <c r="AE902" s="32"/>
      <c r="AF902" s="32"/>
      <c r="AG902" s="32"/>
    </row>
    <row r="903" ht="46.5" customHeight="1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  <c r="AA903" s="32"/>
      <c r="AB903" s="32"/>
      <c r="AC903" s="32"/>
      <c r="AD903" s="32"/>
      <c r="AE903" s="32"/>
      <c r="AF903" s="32"/>
      <c r="AG903" s="32"/>
    </row>
    <row r="904" ht="46.5" customHeight="1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  <c r="AA904" s="32"/>
      <c r="AB904" s="32"/>
      <c r="AC904" s="32"/>
      <c r="AD904" s="32"/>
      <c r="AE904" s="32"/>
      <c r="AF904" s="32"/>
      <c r="AG904" s="32"/>
    </row>
    <row r="905" ht="46.5" customHeight="1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  <c r="AA905" s="32"/>
      <c r="AB905" s="32"/>
      <c r="AC905" s="32"/>
      <c r="AD905" s="32"/>
      <c r="AE905" s="32"/>
      <c r="AF905" s="32"/>
      <c r="AG905" s="32"/>
    </row>
    <row r="906" ht="46.5" customHeight="1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  <c r="AA906" s="32"/>
      <c r="AB906" s="32"/>
      <c r="AC906" s="32"/>
      <c r="AD906" s="32"/>
      <c r="AE906" s="32"/>
      <c r="AF906" s="32"/>
      <c r="AG906" s="32"/>
    </row>
    <row r="907" ht="46.5" customHeight="1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  <c r="AA907" s="32"/>
      <c r="AB907" s="32"/>
      <c r="AC907" s="32"/>
      <c r="AD907" s="32"/>
      <c r="AE907" s="32"/>
      <c r="AF907" s="32"/>
      <c r="AG907" s="32"/>
    </row>
    <row r="908" ht="46.5" customHeight="1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  <c r="AA908" s="32"/>
      <c r="AB908" s="32"/>
      <c r="AC908" s="32"/>
      <c r="AD908" s="32"/>
      <c r="AE908" s="32"/>
      <c r="AF908" s="32"/>
      <c r="AG908" s="32"/>
    </row>
    <row r="909" ht="46.5" customHeight="1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  <c r="AA909" s="32"/>
      <c r="AB909" s="32"/>
      <c r="AC909" s="32"/>
      <c r="AD909" s="32"/>
      <c r="AE909" s="32"/>
      <c r="AF909" s="32"/>
      <c r="AG909" s="32"/>
    </row>
    <row r="910" ht="46.5" customHeight="1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  <c r="AA910" s="32"/>
      <c r="AB910" s="32"/>
      <c r="AC910" s="32"/>
      <c r="AD910" s="32"/>
      <c r="AE910" s="32"/>
      <c r="AF910" s="32"/>
      <c r="AG910" s="32"/>
    </row>
    <row r="911" ht="46.5" customHeight="1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  <c r="AA911" s="32"/>
      <c r="AB911" s="32"/>
      <c r="AC911" s="32"/>
      <c r="AD911" s="32"/>
      <c r="AE911" s="32"/>
      <c r="AF911" s="32"/>
      <c r="AG911" s="32"/>
    </row>
    <row r="912" ht="46.5" customHeight="1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  <c r="AA912" s="32"/>
      <c r="AB912" s="32"/>
      <c r="AC912" s="32"/>
      <c r="AD912" s="32"/>
      <c r="AE912" s="32"/>
      <c r="AF912" s="32"/>
      <c r="AG912" s="32"/>
    </row>
    <row r="913" ht="46.5" customHeight="1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  <c r="AA913" s="32"/>
      <c r="AB913" s="32"/>
      <c r="AC913" s="32"/>
      <c r="AD913" s="32"/>
      <c r="AE913" s="32"/>
      <c r="AF913" s="32"/>
      <c r="AG913" s="32"/>
    </row>
    <row r="914" ht="46.5" customHeight="1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  <c r="AA914" s="32"/>
      <c r="AB914" s="32"/>
      <c r="AC914" s="32"/>
      <c r="AD914" s="32"/>
      <c r="AE914" s="32"/>
      <c r="AF914" s="32"/>
      <c r="AG914" s="32"/>
    </row>
    <row r="915" ht="46.5" customHeight="1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  <c r="AA915" s="32"/>
      <c r="AB915" s="32"/>
      <c r="AC915" s="32"/>
      <c r="AD915" s="32"/>
      <c r="AE915" s="32"/>
      <c r="AF915" s="32"/>
      <c r="AG915" s="32"/>
    </row>
    <row r="916" ht="46.5" customHeight="1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  <c r="AA916" s="32"/>
      <c r="AB916" s="32"/>
      <c r="AC916" s="32"/>
      <c r="AD916" s="32"/>
      <c r="AE916" s="32"/>
      <c r="AF916" s="32"/>
      <c r="AG916" s="32"/>
    </row>
    <row r="917" ht="46.5" customHeight="1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  <c r="AA917" s="32"/>
      <c r="AB917" s="32"/>
      <c r="AC917" s="32"/>
      <c r="AD917" s="32"/>
      <c r="AE917" s="32"/>
      <c r="AF917" s="32"/>
      <c r="AG917" s="32"/>
    </row>
    <row r="918" ht="46.5" customHeight="1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  <c r="AA918" s="32"/>
      <c r="AB918" s="32"/>
      <c r="AC918" s="32"/>
      <c r="AD918" s="32"/>
      <c r="AE918" s="32"/>
      <c r="AF918" s="32"/>
      <c r="AG918" s="32"/>
    </row>
    <row r="919" ht="46.5" customHeight="1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  <c r="AA919" s="32"/>
      <c r="AB919" s="32"/>
      <c r="AC919" s="32"/>
      <c r="AD919" s="32"/>
      <c r="AE919" s="32"/>
      <c r="AF919" s="32"/>
      <c r="AG919" s="32"/>
    </row>
    <row r="920" ht="46.5" customHeight="1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  <c r="AA920" s="32"/>
      <c r="AB920" s="32"/>
      <c r="AC920" s="32"/>
      <c r="AD920" s="32"/>
      <c r="AE920" s="32"/>
      <c r="AF920" s="32"/>
      <c r="AG920" s="32"/>
    </row>
    <row r="921" ht="46.5" customHeight="1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  <c r="AA921" s="32"/>
      <c r="AB921" s="32"/>
      <c r="AC921" s="32"/>
      <c r="AD921" s="32"/>
      <c r="AE921" s="32"/>
      <c r="AF921" s="32"/>
      <c r="AG921" s="32"/>
    </row>
    <row r="922" ht="46.5" customHeight="1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  <c r="AA922" s="32"/>
      <c r="AB922" s="32"/>
      <c r="AC922" s="32"/>
      <c r="AD922" s="32"/>
      <c r="AE922" s="32"/>
      <c r="AF922" s="32"/>
      <c r="AG922" s="32"/>
    </row>
    <row r="923" ht="46.5" customHeight="1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  <c r="AA923" s="32"/>
      <c r="AB923" s="32"/>
      <c r="AC923" s="32"/>
      <c r="AD923" s="32"/>
      <c r="AE923" s="32"/>
      <c r="AF923" s="32"/>
      <c r="AG923" s="32"/>
    </row>
    <row r="924" ht="46.5" customHeight="1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  <c r="AA924" s="32"/>
      <c r="AB924" s="32"/>
      <c r="AC924" s="32"/>
      <c r="AD924" s="32"/>
      <c r="AE924" s="32"/>
      <c r="AF924" s="32"/>
      <c r="AG924" s="32"/>
    </row>
    <row r="925" ht="46.5" customHeight="1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  <c r="AA925" s="32"/>
      <c r="AB925" s="32"/>
      <c r="AC925" s="32"/>
      <c r="AD925" s="32"/>
      <c r="AE925" s="32"/>
      <c r="AF925" s="32"/>
      <c r="AG925" s="32"/>
    </row>
    <row r="926" ht="46.5" customHeight="1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  <c r="AA926" s="32"/>
      <c r="AB926" s="32"/>
      <c r="AC926" s="32"/>
      <c r="AD926" s="32"/>
      <c r="AE926" s="32"/>
      <c r="AF926" s="32"/>
      <c r="AG926" s="32"/>
    </row>
    <row r="927" ht="46.5" customHeight="1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  <c r="AA927" s="32"/>
      <c r="AB927" s="32"/>
      <c r="AC927" s="32"/>
      <c r="AD927" s="32"/>
      <c r="AE927" s="32"/>
      <c r="AF927" s="32"/>
      <c r="AG927" s="32"/>
    </row>
    <row r="928" ht="46.5" customHeight="1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  <c r="AA928" s="32"/>
      <c r="AB928" s="32"/>
      <c r="AC928" s="32"/>
      <c r="AD928" s="32"/>
      <c r="AE928" s="32"/>
      <c r="AF928" s="32"/>
      <c r="AG928" s="32"/>
    </row>
    <row r="929" ht="46.5" customHeight="1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  <c r="AA929" s="32"/>
      <c r="AB929" s="32"/>
      <c r="AC929" s="32"/>
      <c r="AD929" s="32"/>
      <c r="AE929" s="32"/>
      <c r="AF929" s="32"/>
      <c r="AG929" s="32"/>
    </row>
    <row r="930" ht="46.5" customHeight="1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  <c r="AA930" s="32"/>
      <c r="AB930" s="32"/>
      <c r="AC930" s="32"/>
      <c r="AD930" s="32"/>
      <c r="AE930" s="32"/>
      <c r="AF930" s="32"/>
      <c r="AG930" s="32"/>
    </row>
    <row r="931" ht="46.5" customHeight="1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  <c r="AA931" s="32"/>
      <c r="AB931" s="32"/>
      <c r="AC931" s="32"/>
      <c r="AD931" s="32"/>
      <c r="AE931" s="32"/>
      <c r="AF931" s="32"/>
      <c r="AG931" s="32"/>
    </row>
    <row r="932" ht="46.5" customHeight="1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  <c r="AA932" s="32"/>
      <c r="AB932" s="32"/>
      <c r="AC932" s="32"/>
      <c r="AD932" s="32"/>
      <c r="AE932" s="32"/>
      <c r="AF932" s="32"/>
      <c r="AG932" s="32"/>
    </row>
    <row r="933" ht="46.5" customHeight="1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  <c r="AA933" s="32"/>
      <c r="AB933" s="32"/>
      <c r="AC933" s="32"/>
      <c r="AD933" s="32"/>
      <c r="AE933" s="32"/>
      <c r="AF933" s="32"/>
      <c r="AG933" s="32"/>
    </row>
    <row r="934" ht="46.5" customHeight="1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  <c r="AA934" s="32"/>
      <c r="AB934" s="32"/>
      <c r="AC934" s="32"/>
      <c r="AD934" s="32"/>
      <c r="AE934" s="32"/>
      <c r="AF934" s="32"/>
      <c r="AG934" s="32"/>
    </row>
    <row r="935" ht="46.5" customHeight="1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  <c r="AA935" s="32"/>
      <c r="AB935" s="32"/>
      <c r="AC935" s="32"/>
      <c r="AD935" s="32"/>
      <c r="AE935" s="32"/>
      <c r="AF935" s="32"/>
      <c r="AG935" s="32"/>
    </row>
    <row r="936" ht="46.5" customHeight="1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  <c r="AA936" s="32"/>
      <c r="AB936" s="32"/>
      <c r="AC936" s="32"/>
      <c r="AD936" s="32"/>
      <c r="AE936" s="32"/>
      <c r="AF936" s="32"/>
      <c r="AG936" s="32"/>
    </row>
    <row r="937" ht="46.5" customHeight="1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  <c r="AA937" s="32"/>
      <c r="AB937" s="32"/>
      <c r="AC937" s="32"/>
      <c r="AD937" s="32"/>
      <c r="AE937" s="32"/>
      <c r="AF937" s="32"/>
      <c r="AG937" s="32"/>
    </row>
    <row r="938" ht="46.5" customHeight="1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  <c r="AA938" s="32"/>
      <c r="AB938" s="32"/>
      <c r="AC938" s="32"/>
      <c r="AD938" s="32"/>
      <c r="AE938" s="32"/>
      <c r="AF938" s="32"/>
      <c r="AG938" s="32"/>
    </row>
    <row r="939" ht="46.5" customHeight="1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  <c r="AA939" s="32"/>
      <c r="AB939" s="32"/>
      <c r="AC939" s="32"/>
      <c r="AD939" s="32"/>
      <c r="AE939" s="32"/>
      <c r="AF939" s="32"/>
      <c r="AG939" s="32"/>
    </row>
    <row r="940" ht="46.5" customHeight="1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  <c r="AA940" s="32"/>
      <c r="AB940" s="32"/>
      <c r="AC940" s="32"/>
      <c r="AD940" s="32"/>
      <c r="AE940" s="32"/>
      <c r="AF940" s="32"/>
      <c r="AG940" s="32"/>
    </row>
    <row r="941" ht="46.5" customHeight="1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  <c r="AA941" s="32"/>
      <c r="AB941" s="32"/>
      <c r="AC941" s="32"/>
      <c r="AD941" s="32"/>
      <c r="AE941" s="32"/>
      <c r="AF941" s="32"/>
      <c r="AG941" s="32"/>
    </row>
    <row r="942" ht="46.5" customHeight="1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  <c r="AA942" s="32"/>
      <c r="AB942" s="32"/>
      <c r="AC942" s="32"/>
      <c r="AD942" s="32"/>
      <c r="AE942" s="32"/>
      <c r="AF942" s="32"/>
      <c r="AG942" s="32"/>
    </row>
    <row r="943" ht="46.5" customHeight="1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  <c r="AA943" s="32"/>
      <c r="AB943" s="32"/>
      <c r="AC943" s="32"/>
      <c r="AD943" s="32"/>
      <c r="AE943" s="32"/>
      <c r="AF943" s="32"/>
      <c r="AG943" s="32"/>
    </row>
    <row r="944" ht="46.5" customHeight="1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  <c r="AA944" s="32"/>
      <c r="AB944" s="32"/>
      <c r="AC944" s="32"/>
      <c r="AD944" s="32"/>
      <c r="AE944" s="32"/>
      <c r="AF944" s="32"/>
      <c r="AG944" s="32"/>
    </row>
    <row r="945" ht="46.5" customHeight="1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  <c r="AA945" s="32"/>
      <c r="AB945" s="32"/>
      <c r="AC945" s="32"/>
      <c r="AD945" s="32"/>
      <c r="AE945" s="32"/>
      <c r="AF945" s="32"/>
      <c r="AG945" s="32"/>
    </row>
    <row r="946" ht="46.5" customHeight="1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  <c r="AA946" s="32"/>
      <c r="AB946" s="32"/>
      <c r="AC946" s="32"/>
      <c r="AD946" s="32"/>
      <c r="AE946" s="32"/>
      <c r="AF946" s="32"/>
      <c r="AG946" s="32"/>
    </row>
    <row r="947" ht="46.5" customHeight="1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  <c r="AA947" s="32"/>
      <c r="AB947" s="32"/>
      <c r="AC947" s="32"/>
      <c r="AD947" s="32"/>
      <c r="AE947" s="32"/>
      <c r="AF947" s="32"/>
      <c r="AG947" s="32"/>
    </row>
    <row r="948" ht="46.5" customHeight="1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  <c r="AA948" s="32"/>
      <c r="AB948" s="32"/>
      <c r="AC948" s="32"/>
      <c r="AD948" s="32"/>
      <c r="AE948" s="32"/>
      <c r="AF948" s="32"/>
      <c r="AG948" s="32"/>
    </row>
    <row r="949" ht="46.5" customHeight="1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  <c r="AA949" s="32"/>
      <c r="AB949" s="32"/>
      <c r="AC949" s="32"/>
      <c r="AD949" s="32"/>
      <c r="AE949" s="32"/>
      <c r="AF949" s="32"/>
      <c r="AG949" s="32"/>
    </row>
    <row r="950" ht="46.5" customHeight="1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  <c r="AA950" s="32"/>
      <c r="AB950" s="32"/>
      <c r="AC950" s="32"/>
      <c r="AD950" s="32"/>
      <c r="AE950" s="32"/>
      <c r="AF950" s="32"/>
      <c r="AG950" s="32"/>
    </row>
    <row r="951" ht="46.5" customHeight="1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  <c r="AA951" s="32"/>
      <c r="AB951" s="32"/>
      <c r="AC951" s="32"/>
      <c r="AD951" s="32"/>
      <c r="AE951" s="32"/>
      <c r="AF951" s="32"/>
      <c r="AG951" s="32"/>
    </row>
    <row r="952" ht="46.5" customHeight="1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  <c r="AA952" s="32"/>
      <c r="AB952" s="32"/>
      <c r="AC952" s="32"/>
      <c r="AD952" s="32"/>
      <c r="AE952" s="32"/>
      <c r="AF952" s="32"/>
      <c r="AG952" s="32"/>
    </row>
    <row r="953" ht="46.5" customHeight="1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  <c r="AA953" s="32"/>
      <c r="AB953" s="32"/>
      <c r="AC953" s="32"/>
      <c r="AD953" s="32"/>
      <c r="AE953" s="32"/>
      <c r="AF953" s="32"/>
      <c r="AG953" s="32"/>
    </row>
    <row r="954" ht="46.5" customHeight="1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  <c r="AA954" s="32"/>
      <c r="AB954" s="32"/>
      <c r="AC954" s="32"/>
      <c r="AD954" s="32"/>
      <c r="AE954" s="32"/>
      <c r="AF954" s="32"/>
      <c r="AG954" s="32"/>
    </row>
    <row r="955" ht="46.5" customHeight="1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  <c r="AA955" s="32"/>
      <c r="AB955" s="32"/>
      <c r="AC955" s="32"/>
      <c r="AD955" s="32"/>
      <c r="AE955" s="32"/>
      <c r="AF955" s="32"/>
      <c r="AG955" s="32"/>
    </row>
    <row r="956" ht="46.5" customHeight="1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  <c r="AA956" s="32"/>
      <c r="AB956" s="32"/>
      <c r="AC956" s="32"/>
      <c r="AD956" s="32"/>
      <c r="AE956" s="32"/>
      <c r="AF956" s="32"/>
      <c r="AG956" s="32"/>
    </row>
    <row r="957" ht="46.5" customHeight="1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  <c r="AA957" s="32"/>
      <c r="AB957" s="32"/>
      <c r="AC957" s="32"/>
      <c r="AD957" s="32"/>
      <c r="AE957" s="32"/>
      <c r="AF957" s="32"/>
      <c r="AG957" s="32"/>
    </row>
    <row r="958" ht="46.5" customHeight="1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  <c r="AA958" s="32"/>
      <c r="AB958" s="32"/>
      <c r="AC958" s="32"/>
      <c r="AD958" s="32"/>
      <c r="AE958" s="32"/>
      <c r="AF958" s="32"/>
      <c r="AG958" s="32"/>
    </row>
    <row r="959" ht="46.5" customHeight="1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  <c r="AA959" s="32"/>
      <c r="AB959" s="32"/>
      <c r="AC959" s="32"/>
      <c r="AD959" s="32"/>
      <c r="AE959" s="32"/>
      <c r="AF959" s="32"/>
      <c r="AG959" s="32"/>
    </row>
    <row r="960" ht="46.5" customHeight="1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  <c r="AA960" s="32"/>
      <c r="AB960" s="32"/>
      <c r="AC960" s="32"/>
      <c r="AD960" s="32"/>
      <c r="AE960" s="32"/>
      <c r="AF960" s="32"/>
      <c r="AG960" s="32"/>
    </row>
    <row r="961" ht="46.5" customHeight="1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  <c r="AA961" s="32"/>
      <c r="AB961" s="32"/>
      <c r="AC961" s="32"/>
      <c r="AD961" s="32"/>
      <c r="AE961" s="32"/>
      <c r="AF961" s="32"/>
      <c r="AG961" s="32"/>
    </row>
    <row r="962" ht="46.5" customHeight="1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  <c r="AA962" s="32"/>
      <c r="AB962" s="32"/>
      <c r="AC962" s="32"/>
      <c r="AD962" s="32"/>
      <c r="AE962" s="32"/>
      <c r="AF962" s="32"/>
      <c r="AG962" s="32"/>
    </row>
    <row r="963" ht="46.5" customHeight="1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  <c r="AA963" s="32"/>
      <c r="AB963" s="32"/>
      <c r="AC963" s="32"/>
      <c r="AD963" s="32"/>
      <c r="AE963" s="32"/>
      <c r="AF963" s="32"/>
      <c r="AG963" s="32"/>
    </row>
    <row r="964" ht="46.5" customHeight="1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  <c r="AA964" s="32"/>
      <c r="AB964" s="32"/>
      <c r="AC964" s="32"/>
      <c r="AD964" s="32"/>
      <c r="AE964" s="32"/>
      <c r="AF964" s="32"/>
      <c r="AG964" s="32"/>
    </row>
    <row r="965" ht="46.5" customHeight="1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  <c r="AA965" s="32"/>
      <c r="AB965" s="32"/>
      <c r="AC965" s="32"/>
      <c r="AD965" s="32"/>
      <c r="AE965" s="32"/>
      <c r="AF965" s="32"/>
      <c r="AG965" s="32"/>
    </row>
    <row r="966" ht="46.5" customHeight="1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  <c r="AA966" s="32"/>
      <c r="AB966" s="32"/>
      <c r="AC966" s="32"/>
      <c r="AD966" s="32"/>
      <c r="AE966" s="32"/>
      <c r="AF966" s="32"/>
      <c r="AG966" s="32"/>
    </row>
    <row r="967" ht="46.5" customHeight="1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  <c r="AA967" s="32"/>
      <c r="AB967" s="32"/>
      <c r="AC967" s="32"/>
      <c r="AD967" s="32"/>
      <c r="AE967" s="32"/>
      <c r="AF967" s="32"/>
      <c r="AG967" s="32"/>
    </row>
    <row r="968" ht="46.5" customHeight="1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  <c r="AA968" s="32"/>
      <c r="AB968" s="32"/>
      <c r="AC968" s="32"/>
      <c r="AD968" s="32"/>
      <c r="AE968" s="32"/>
      <c r="AF968" s="32"/>
      <c r="AG968" s="32"/>
    </row>
    <row r="969" ht="46.5" customHeight="1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  <c r="AA969" s="32"/>
      <c r="AB969" s="32"/>
      <c r="AC969" s="32"/>
      <c r="AD969" s="32"/>
      <c r="AE969" s="32"/>
      <c r="AF969" s="32"/>
      <c r="AG969" s="32"/>
    </row>
    <row r="970" ht="46.5" customHeight="1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  <c r="AA970" s="32"/>
      <c r="AB970" s="32"/>
      <c r="AC970" s="32"/>
      <c r="AD970" s="32"/>
      <c r="AE970" s="32"/>
      <c r="AF970" s="32"/>
      <c r="AG970" s="32"/>
    </row>
    <row r="971" ht="46.5" customHeight="1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  <c r="AA971" s="32"/>
      <c r="AB971" s="32"/>
      <c r="AC971" s="32"/>
      <c r="AD971" s="32"/>
      <c r="AE971" s="32"/>
      <c r="AF971" s="32"/>
      <c r="AG971" s="32"/>
    </row>
    <row r="972" ht="46.5" customHeight="1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  <c r="AA972" s="32"/>
      <c r="AB972" s="32"/>
      <c r="AC972" s="32"/>
      <c r="AD972" s="32"/>
      <c r="AE972" s="32"/>
      <c r="AF972" s="32"/>
      <c r="AG972" s="32"/>
    </row>
    <row r="973" ht="46.5" customHeight="1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  <c r="AA973" s="32"/>
      <c r="AB973" s="32"/>
      <c r="AC973" s="32"/>
      <c r="AD973" s="32"/>
      <c r="AE973" s="32"/>
      <c r="AF973" s="32"/>
      <c r="AG973" s="32"/>
    </row>
    <row r="974" ht="46.5" customHeight="1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  <c r="AA974" s="32"/>
      <c r="AB974" s="32"/>
      <c r="AC974" s="32"/>
      <c r="AD974" s="32"/>
      <c r="AE974" s="32"/>
      <c r="AF974" s="32"/>
      <c r="AG974" s="32"/>
    </row>
    <row r="975" ht="46.5" customHeight="1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  <c r="AA975" s="32"/>
      <c r="AB975" s="32"/>
      <c r="AC975" s="32"/>
      <c r="AD975" s="32"/>
      <c r="AE975" s="32"/>
      <c r="AF975" s="32"/>
      <c r="AG975" s="32"/>
    </row>
    <row r="976" ht="46.5" customHeight="1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  <c r="AA976" s="32"/>
      <c r="AB976" s="32"/>
      <c r="AC976" s="32"/>
      <c r="AD976" s="32"/>
      <c r="AE976" s="32"/>
      <c r="AF976" s="32"/>
      <c r="AG976" s="32"/>
    </row>
    <row r="977" ht="46.5" customHeight="1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  <c r="AA977" s="32"/>
      <c r="AB977" s="32"/>
      <c r="AC977" s="32"/>
      <c r="AD977" s="32"/>
      <c r="AE977" s="32"/>
      <c r="AF977" s="32"/>
      <c r="AG977" s="32"/>
    </row>
    <row r="978" ht="46.5" customHeight="1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  <c r="AA978" s="32"/>
      <c r="AB978" s="32"/>
      <c r="AC978" s="32"/>
      <c r="AD978" s="32"/>
      <c r="AE978" s="32"/>
      <c r="AF978" s="32"/>
      <c r="AG978" s="32"/>
    </row>
    <row r="979" ht="46.5" customHeight="1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  <c r="AA979" s="32"/>
      <c r="AB979" s="32"/>
      <c r="AC979" s="32"/>
      <c r="AD979" s="32"/>
      <c r="AE979" s="32"/>
      <c r="AF979" s="32"/>
      <c r="AG979" s="32"/>
    </row>
    <row r="980" ht="46.5" customHeight="1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  <c r="AA980" s="32"/>
      <c r="AB980" s="32"/>
      <c r="AC980" s="32"/>
      <c r="AD980" s="32"/>
      <c r="AE980" s="32"/>
      <c r="AF980" s="32"/>
      <c r="AG980" s="32"/>
    </row>
    <row r="981" ht="46.5" customHeight="1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  <c r="AA981" s="32"/>
      <c r="AB981" s="32"/>
      <c r="AC981" s="32"/>
      <c r="AD981" s="32"/>
      <c r="AE981" s="32"/>
      <c r="AF981" s="32"/>
      <c r="AG981" s="32"/>
    </row>
    <row r="982" ht="46.5" customHeight="1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  <c r="AA982" s="32"/>
      <c r="AB982" s="32"/>
      <c r="AC982" s="32"/>
      <c r="AD982" s="32"/>
      <c r="AE982" s="32"/>
      <c r="AF982" s="32"/>
      <c r="AG982" s="32"/>
    </row>
    <row r="983" ht="46.5" customHeight="1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  <c r="AA983" s="32"/>
      <c r="AB983" s="32"/>
      <c r="AC983" s="32"/>
      <c r="AD983" s="32"/>
      <c r="AE983" s="32"/>
      <c r="AF983" s="32"/>
      <c r="AG983" s="32"/>
    </row>
    <row r="984" ht="46.5" customHeight="1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  <c r="AA984" s="32"/>
      <c r="AB984" s="32"/>
      <c r="AC984" s="32"/>
      <c r="AD984" s="32"/>
      <c r="AE984" s="32"/>
      <c r="AF984" s="32"/>
      <c r="AG984" s="32"/>
    </row>
    <row r="985" ht="46.5" customHeight="1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  <c r="AA985" s="32"/>
      <c r="AB985" s="32"/>
      <c r="AC985" s="32"/>
      <c r="AD985" s="32"/>
      <c r="AE985" s="32"/>
      <c r="AF985" s="32"/>
      <c r="AG985" s="32"/>
    </row>
    <row r="986" ht="46.5" customHeight="1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  <c r="AA986" s="32"/>
      <c r="AB986" s="32"/>
      <c r="AC986" s="32"/>
      <c r="AD986" s="32"/>
      <c r="AE986" s="32"/>
      <c r="AF986" s="32"/>
      <c r="AG986" s="32"/>
    </row>
    <row r="987" ht="46.5" customHeight="1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  <c r="AA987" s="32"/>
      <c r="AB987" s="32"/>
      <c r="AC987" s="32"/>
      <c r="AD987" s="32"/>
      <c r="AE987" s="32"/>
      <c r="AF987" s="32"/>
      <c r="AG987" s="32"/>
    </row>
    <row r="988" ht="46.5" customHeight="1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  <c r="AA988" s="32"/>
      <c r="AB988" s="32"/>
      <c r="AC988" s="32"/>
      <c r="AD988" s="32"/>
      <c r="AE988" s="32"/>
      <c r="AF988" s="32"/>
      <c r="AG988" s="32"/>
    </row>
    <row r="989" ht="46.5" customHeight="1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  <c r="AA989" s="32"/>
      <c r="AB989" s="32"/>
      <c r="AC989" s="32"/>
      <c r="AD989" s="32"/>
      <c r="AE989" s="32"/>
      <c r="AF989" s="32"/>
      <c r="AG989" s="32"/>
    </row>
    <row r="990" ht="46.5" customHeight="1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  <c r="AA990" s="32"/>
      <c r="AB990" s="32"/>
      <c r="AC990" s="32"/>
      <c r="AD990" s="32"/>
      <c r="AE990" s="32"/>
      <c r="AF990" s="32"/>
      <c r="AG990" s="32"/>
    </row>
    <row r="991" ht="46.5" customHeight="1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  <c r="AA991" s="32"/>
      <c r="AB991" s="32"/>
      <c r="AC991" s="32"/>
      <c r="AD991" s="32"/>
      <c r="AE991" s="32"/>
      <c r="AF991" s="32"/>
      <c r="AG991" s="32"/>
    </row>
    <row r="992" ht="46.5" customHeight="1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  <c r="AA992" s="32"/>
      <c r="AB992" s="32"/>
      <c r="AC992" s="32"/>
      <c r="AD992" s="32"/>
      <c r="AE992" s="32"/>
      <c r="AF992" s="32"/>
      <c r="AG992" s="32"/>
    </row>
    <row r="993" ht="46.5" customHeight="1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  <c r="AA993" s="32"/>
      <c r="AB993" s="32"/>
      <c r="AC993" s="32"/>
      <c r="AD993" s="32"/>
      <c r="AE993" s="32"/>
      <c r="AF993" s="32"/>
      <c r="AG993" s="32"/>
    </row>
    <row r="994" ht="46.5" customHeight="1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  <c r="AA994" s="32"/>
      <c r="AB994" s="32"/>
      <c r="AC994" s="32"/>
      <c r="AD994" s="32"/>
      <c r="AE994" s="32"/>
      <c r="AF994" s="32"/>
      <c r="AG994" s="32"/>
    </row>
    <row r="995" ht="46.5" customHeight="1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  <c r="AA995" s="32"/>
      <c r="AB995" s="32"/>
      <c r="AC995" s="32"/>
      <c r="AD995" s="32"/>
      <c r="AE995" s="32"/>
      <c r="AF995" s="32"/>
      <c r="AG995" s="32"/>
    </row>
    <row r="996" ht="46.5" customHeight="1">
      <c r="A996" s="32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  <c r="AA996" s="32"/>
      <c r="AB996" s="32"/>
      <c r="AC996" s="32"/>
      <c r="AD996" s="32"/>
      <c r="AE996" s="32"/>
      <c r="AF996" s="32"/>
      <c r="AG996" s="32"/>
    </row>
    <row r="997" ht="46.5" customHeight="1">
      <c r="A997" s="32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  <c r="AA997" s="32"/>
      <c r="AB997" s="32"/>
      <c r="AC997" s="32"/>
      <c r="AD997" s="32"/>
      <c r="AE997" s="32"/>
      <c r="AF997" s="32"/>
      <c r="AG997" s="32"/>
    </row>
    <row r="998" ht="46.5" customHeight="1">
      <c r="A998" s="32"/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  <c r="AA998" s="32"/>
      <c r="AB998" s="32"/>
      <c r="AC998" s="32"/>
      <c r="AD998" s="32"/>
      <c r="AE998" s="32"/>
      <c r="AF998" s="32"/>
      <c r="AG998" s="32"/>
    </row>
    <row r="999" ht="46.5" customHeight="1">
      <c r="A999" s="32"/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  <c r="AA999" s="32"/>
      <c r="AB999" s="32"/>
      <c r="AC999" s="32"/>
      <c r="AD999" s="32"/>
      <c r="AE999" s="32"/>
      <c r="AF999" s="32"/>
      <c r="AG999" s="32"/>
    </row>
    <row r="1000" ht="46.5" customHeight="1">
      <c r="A1000" s="32"/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  <c r="AA1000" s="32"/>
      <c r="AB1000" s="32"/>
      <c r="AC1000" s="32"/>
      <c r="AD1000" s="32"/>
      <c r="AE1000" s="32"/>
      <c r="AF1000" s="32"/>
      <c r="AG1000" s="32"/>
    </row>
  </sheetData>
  <conditionalFormatting sqref="A10">
    <cfRule type="expression" dxfId="2" priority="1">
      <formula>SEARCH("UNSOLVED",E10)</formula>
    </cfRule>
  </conditionalFormatting>
  <conditionalFormatting sqref="A10">
    <cfRule type="expression" dxfId="3" priority="2">
      <formula>SEARCH("SOLVED",E10)</formula>
    </cfRule>
  </conditionalFormatting>
  <conditionalFormatting sqref="I10">
    <cfRule type="expression" dxfId="2" priority="3">
      <formula>SEARCH("UNSOLVED",E10)</formula>
    </cfRule>
  </conditionalFormatting>
  <conditionalFormatting sqref="I10">
    <cfRule type="expression" dxfId="3" priority="4">
      <formula>SEARCH("SOLVED",E10)</formula>
    </cfRule>
  </conditionalFormatting>
  <conditionalFormatting sqref="H10">
    <cfRule type="expression" dxfId="2" priority="5">
      <formula>SEARCH("UNSOLVED",E10)</formula>
    </cfRule>
  </conditionalFormatting>
  <conditionalFormatting sqref="H10">
    <cfRule type="expression" dxfId="3" priority="6">
      <formula>SEARCH("SOLVED",E10)</formula>
    </cfRule>
  </conditionalFormatting>
  <conditionalFormatting sqref="G10">
    <cfRule type="expression" dxfId="2" priority="7">
      <formula>SEARCH("UNSOLVED",E10)</formula>
    </cfRule>
  </conditionalFormatting>
  <conditionalFormatting sqref="G10">
    <cfRule type="expression" dxfId="3" priority="8">
      <formula>SEARCH("SOLVED",E10)</formula>
    </cfRule>
  </conditionalFormatting>
  <conditionalFormatting sqref="F10">
    <cfRule type="expression" dxfId="2" priority="9">
      <formula>SEARCH("UNSOLVED",E10)</formula>
    </cfRule>
  </conditionalFormatting>
  <conditionalFormatting sqref="F10">
    <cfRule type="expression" dxfId="3" priority="10">
      <formula>SEARCH("SOLVED",E10)</formula>
    </cfRule>
  </conditionalFormatting>
  <conditionalFormatting sqref="D10">
    <cfRule type="expression" dxfId="2" priority="11">
      <formula>SEARCH("UNSOLVED",E10)</formula>
    </cfRule>
  </conditionalFormatting>
  <conditionalFormatting sqref="D10">
    <cfRule type="expression" dxfId="3" priority="12">
      <formula>SEARCH("SOLVED",E10)</formula>
    </cfRule>
  </conditionalFormatting>
  <conditionalFormatting sqref="B10">
    <cfRule type="expression" dxfId="2" priority="13">
      <formula>SEARCH("UNSOLVED",E10)</formula>
    </cfRule>
  </conditionalFormatting>
  <conditionalFormatting sqref="B10">
    <cfRule type="expression" dxfId="3" priority="14">
      <formula>SEARCH("SOLVED",E10)</formula>
    </cfRule>
  </conditionalFormatting>
  <conditionalFormatting sqref="C10">
    <cfRule type="expression" dxfId="2" priority="15">
      <formula>SEARCH("UNSOLVED",E10)</formula>
    </cfRule>
  </conditionalFormatting>
  <conditionalFormatting sqref="C10">
    <cfRule type="expression" dxfId="3" priority="16">
      <formula>SEARCH("SOLVED",E10)</formula>
    </cfRule>
  </conditionalFormatting>
  <conditionalFormatting sqref="E10">
    <cfRule type="cellIs" dxfId="3" priority="17" operator="equal">
      <formula>"SOLVED!"</formula>
    </cfRule>
  </conditionalFormatting>
  <conditionalFormatting sqref="E10">
    <cfRule type="containsText" dxfId="2" priority="18" operator="containsText" text="UNSOLVED">
      <formula>NOT(ISERROR(SEARCH(("UNSOLVED"),(E10))))</formula>
    </cfRule>
  </conditionalFormatting>
  <conditionalFormatting sqref="A11:I20">
    <cfRule type="cellIs" dxfId="4" priority="19" operator="equal">
      <formula>"f"</formula>
    </cfRule>
  </conditionalFormatting>
  <drawing r:id="rId1"/>
</worksheet>
</file>